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slicers/slicer3.xml" ContentType="application/vnd.ms-excel.slicer+xml"/>
  <Override PartName="/xl/drawings/drawing4.xml" ContentType="application/vnd.openxmlformats-officedocument.drawing+xml"/>
  <Override PartName="/xl/ctrlProps/ctrlProp5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cdbe6ce4283f63/Escritorio/CODERHOUSE/MI PRACTICA/MODULO 9/"/>
    </mc:Choice>
  </mc:AlternateContent>
  <xr:revisionPtr revIDLastSave="531" documentId="13_ncr:1_{D16E7FA1-21B7-4BD4-B583-A1C030672171}" xr6:coauthVersionLast="47" xr6:coauthVersionMax="47" xr10:uidLastSave="{48CA8584-3AB0-4A6A-BDE8-C30B6F907735}"/>
  <bookViews>
    <workbookView xWindow="-108" yWindow="-108" windowWidth="23256" windowHeight="12456" firstSheet="2" activeTab="2" xr2:uid="{856C674D-E6D2-4D25-9840-DE88F5A1137A}"/>
  </bookViews>
  <sheets>
    <sheet name="Motor_Dashboard_Final" sheetId="14" state="hidden" r:id="rId1"/>
    <sheet name="Datos_Procesados" sheetId="6" state="hidden" r:id="rId2"/>
    <sheet name="Dashboard Final" sheetId="13" r:id="rId3"/>
    <sheet name="Estadistica_Descriptiva" sheetId="7" state="hidden" r:id="rId4"/>
    <sheet name="Simulacion" sheetId="8" state="hidden" r:id="rId5"/>
    <sheet name="Resumen del escenario" sheetId="11" state="hidden" r:id="rId6"/>
    <sheet name="Prompt_IA" sheetId="12" state="hidden" r:id="rId7"/>
    <sheet name="Evaluación_Financiera" sheetId="4" state="hidden" r:id="rId8"/>
    <sheet name="Reporte_Ejecutivo" sheetId="5" state="hidden" r:id="rId9"/>
    <sheet name="Dashboard" sheetId="1" state="hidden" r:id="rId10"/>
    <sheet name="Data_Clientes" sheetId="2" state="hidden" r:id="rId11"/>
    <sheet name="Historico_Simulaciones" sheetId="3" state="hidden" r:id="rId12"/>
  </sheets>
  <definedNames>
    <definedName name="DatosExternos_1" localSheetId="1" hidden="1">Datos_Procesados!$A$1:$I$19</definedName>
    <definedName name="Lista_Categorias">#REF!</definedName>
    <definedName name="Lista_Clientes">#REF!</definedName>
    <definedName name="Lista_SKU">#REF!</definedName>
    <definedName name="RangoHistorico">OFFSET(Historico_Simulaciones!$A$1,0,0,COUNTA(Historico_Simulaciones!$A:$A),8)</definedName>
    <definedName name="SegmentaciónDeDatos_Categoría1">#N/A</definedName>
    <definedName name="SegmentaciónDeDatos_Fecha">#N/A</definedName>
    <definedName name="SegmentaciónDeDatos_Región1">#N/A</definedName>
  </definedNames>
  <calcPr calcId="191029"/>
  <pivotCaches>
    <pivotCache cacheId="0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Ventas_2ef055a1-4893-41b1-ab73-4ffbf996d0e8" name="Fact_Ventas" connection="Consulta - Fact_Ventas"/>
          <x15:modelTable id="tblCalendario_9ad7e09c-b431-4349-9fb2-933e223b7f15" name="tblCalendario" connection="Consulta - tblCalendario"/>
          <x15:modelTable id="tblClientes_65c650af-c8e8-4c8d-8387-ba77d72e0363" name="tblClientes" connection="Consulta - tblClientes"/>
          <x15:modelTable id="tblProductos_3d68c9ce-53bb-4807-94fb-94714db983f7" name="tblProductos" connection="Consulta - tblProductos"/>
        </x15:modelTables>
        <x15:modelRelationships>
          <x15:modelRelationship fromTable="Fact_Ventas" fromColumn="ID_Producto" toTable="tblProductos" toColumn="ID_Producto"/>
          <x15:modelRelationship fromTable="Fact_Ventas" fromColumn="ID_Cliente" toTable="tblClientes" toColumn="ID_Cliente"/>
          <x15:modelRelationship fromTable="Fact_Ventas" fromColumn="Fecha" toTable="tblCalendario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3" l="1"/>
  <c r="N12" i="13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25" i="14"/>
  <c r="N14" i="13"/>
  <c r="N13" i="13"/>
  <c r="B5" i="8"/>
  <c r="N11" i="13" l="1"/>
  <c r="B20" i="4"/>
  <c r="B19" i="4"/>
  <c r="B18" i="4"/>
  <c r="B6" i="4"/>
  <c r="B12" i="1"/>
  <c r="B5" i="1"/>
  <c r="B11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688B5F-054A-4044-9B44-936EFD0CD985}" name="Consulta - Fact_Ventas" description="Conexión a la consulta 'Fact_Ventas' en el libro." type="100" refreshedVersion="8" minRefreshableVersion="5">
    <extLst>
      <ext xmlns:x15="http://schemas.microsoft.com/office/spreadsheetml/2010/11/main" uri="{DE250136-89BD-433C-8126-D09CA5730AF9}">
        <x15:connection id="d6e83f93-5cbd-453d-8559-7259894f6836"/>
      </ext>
    </extLst>
  </connection>
  <connection id="2" xr16:uid="{2224F337-59B8-4705-801B-B572546ECFFA}" name="Consulta - tblCalendario" description="Conexión a la consulta 'tblCalendario' en el libro." type="100" refreshedVersion="8" minRefreshableVersion="5">
    <extLst>
      <ext xmlns:x15="http://schemas.microsoft.com/office/spreadsheetml/2010/11/main" uri="{DE250136-89BD-433C-8126-D09CA5730AF9}">
        <x15:connection id="fca83c25-c367-41da-9e9b-f3ac88c6f27b">
          <x15:oledbPr connection="Provider=Microsoft.Mashup.OleDb.1;Data Source=$Workbook$;Location=tblCalendario;Extended Properties=&quot;&quot;">
            <x15:dbTables>
              <x15:dbTable name="tblCalendario"/>
            </x15:dbTables>
          </x15:oledbPr>
        </x15:connection>
      </ext>
    </extLst>
  </connection>
  <connection id="3" xr16:uid="{8D9A019F-447E-4FC9-BFD2-48759CDB9038}" name="Consulta - tblClientes" description="Conexión a la consulta 'tblClientes' en el libro." type="100" refreshedVersion="8" minRefreshableVersion="5">
    <extLst>
      <ext xmlns:x15="http://schemas.microsoft.com/office/spreadsheetml/2010/11/main" uri="{DE250136-89BD-433C-8126-D09CA5730AF9}">
        <x15:connection id="d08f09d6-c395-4379-ab8d-9748344d89d3">
          <x15:oledbPr connection="Provider=Microsoft.Mashup.OleDb.1;Data Source=$Workbook$;Location=tblClientes;Extended Properties=&quot;&quot;">
            <x15:dbTables>
              <x15:dbTable name="tblClientes"/>
            </x15:dbTables>
          </x15:oledbPr>
        </x15:connection>
      </ext>
    </extLst>
  </connection>
  <connection id="4" xr16:uid="{53F30A79-EBEB-4017-BE51-154B02D8106B}" name="Consulta - tblProductos" description="Conexión a la consulta 'tblProductos' en el libro." type="100" refreshedVersion="8" minRefreshableVersion="5">
    <extLst>
      <ext xmlns:x15="http://schemas.microsoft.com/office/spreadsheetml/2010/11/main" uri="{DE250136-89BD-433C-8126-D09CA5730AF9}">
        <x15:connection id="ade0d03b-a299-4dc7-83d4-2992c9f6e71c">
          <x15:oledbPr connection="Provider=Microsoft.Mashup.OleDb.1;Data Source=$Workbook$;Location=tblProductos;Extended Properties=&quot;&quot;">
            <x15:dbTables>
              <x15:dbTable name="tblProductos"/>
            </x15:dbTables>
          </x15:oledbPr>
        </x15:connection>
      </ext>
    </extLst>
  </connection>
  <connection id="5" xr16:uid="{B7B4BF1E-19B1-43DC-B3BC-8F02BEFD34B9}" keepAlive="1" name="ModelConnection_DatosExternos_1" description="Modelo de datos" type="5" refreshedVersion="8" minRefreshableVersion="5" saveData="1">
    <dbPr connection="Data Model Connection" command="Fact_Venta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2A7FCED1-FE8E-43E2-93D4-DECBA9FF90F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<sst xmlns="http://schemas.openxmlformats.org/spreadsheetml/2006/main" count="190" uniqueCount="123">
  <si>
    <t>ID_Cliente</t>
  </si>
  <si>
    <t>Nombre</t>
  </si>
  <si>
    <t>Empresa</t>
  </si>
  <si>
    <t>Ana Gómez</t>
  </si>
  <si>
    <t>Logística Sur</t>
  </si>
  <si>
    <t>Martín López</t>
  </si>
  <si>
    <t>Grupo Andino</t>
  </si>
  <si>
    <t>Carla Fernández</t>
  </si>
  <si>
    <t>Tecnología Delta</t>
  </si>
  <si>
    <t>Diego Romero</t>
  </si>
  <si>
    <t>Servicios Urbanos</t>
  </si>
  <si>
    <t>Lucía Martínez</t>
  </si>
  <si>
    <t>Inversiones Río</t>
  </si>
  <si>
    <t>ID_Simulacion</t>
  </si>
  <si>
    <t>Fecha</t>
  </si>
  <si>
    <t>Monto</t>
  </si>
  <si>
    <t>Tasa_Anual</t>
  </si>
  <si>
    <t>Plazo_Meses</t>
  </si>
  <si>
    <t>Cuota_Mensual</t>
  </si>
  <si>
    <t>Valor_Futuro</t>
  </si>
  <si>
    <t>Simulador Financiero Automatizado</t>
  </si>
  <si>
    <t>ID Cliente</t>
  </si>
  <si>
    <t>Monto solicitado</t>
  </si>
  <si>
    <t>Tasa anual</t>
  </si>
  <si>
    <t>Plazo en meses</t>
  </si>
  <si>
    <t>Valor futuro total</t>
  </si>
  <si>
    <t>Cuota mensual</t>
  </si>
  <si>
    <t>Evaluación Financiera del Proyecto</t>
  </si>
  <si>
    <t>Inversión inicial</t>
  </si>
  <si>
    <t>Tasa anual del préstamo</t>
  </si>
  <si>
    <t>Costo de capital</t>
  </si>
  <si>
    <t>Año</t>
  </si>
  <si>
    <t>Flujo de caja neto</t>
  </si>
  <si>
    <t>VAN</t>
  </si>
  <si>
    <t>TIR</t>
  </si>
  <si>
    <t>Conclusión</t>
  </si>
  <si>
    <t>Región</t>
  </si>
  <si>
    <t>Categoría</t>
  </si>
  <si>
    <t>Producto</t>
  </si>
  <si>
    <t>Ventas</t>
  </si>
  <si>
    <t>Costo</t>
  </si>
  <si>
    <t>Margen</t>
  </si>
  <si>
    <t>Norte</t>
  </si>
  <si>
    <t>Maquillaje</t>
  </si>
  <si>
    <t>Labial Matte</t>
  </si>
  <si>
    <t>Sur</t>
  </si>
  <si>
    <t>Cuidado Facial</t>
  </si>
  <si>
    <t>Crema Hidratante</t>
  </si>
  <si>
    <t>Centro</t>
  </si>
  <si>
    <t>Base Fluida</t>
  </si>
  <si>
    <t>Perfumería</t>
  </si>
  <si>
    <t>Perfume Floral</t>
  </si>
  <si>
    <t>Máscara de Pestañas</t>
  </si>
  <si>
    <t>Sérum Facial</t>
  </si>
  <si>
    <t>Corrector</t>
  </si>
  <si>
    <t>Perfume Cítrico</t>
  </si>
  <si>
    <t>Agua Micelar</t>
  </si>
  <si>
    <t>Body Splash</t>
  </si>
  <si>
    <t>Delineador</t>
  </si>
  <si>
    <t>Protector Facial</t>
  </si>
  <si>
    <t>Rubor Compacto</t>
  </si>
  <si>
    <t>Perfume Amaderado</t>
  </si>
  <si>
    <t>Polvo Compacto</t>
  </si>
  <si>
    <t>Gel de Limpieza</t>
  </si>
  <si>
    <t>Sombra de Ojos</t>
  </si>
  <si>
    <t>Perfume Dulce</t>
  </si>
  <si>
    <t>Etiquetas de fila</t>
  </si>
  <si>
    <t>Total general</t>
  </si>
  <si>
    <t>Etiquetas de columna</t>
  </si>
  <si>
    <t>REPORTE EJECUTIVO DE MARGEN</t>
  </si>
  <si>
    <t>Suma de Margen</t>
  </si>
  <si>
    <t>ID_Producto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</si>
  <si>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</si>
  <si>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</si>
  <si>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</si>
  <si>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</si>
  <si>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</si>
  <si>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</si>
  <si>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</si>
  <si>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</si>
  <si>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</si>
  <si>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</si>
  <si>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</si>
  <si>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</si>
  <si>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</si>
  <si>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Variable</t>
  </si>
  <si>
    <t>Valor</t>
  </si>
  <si>
    <t>Precio_Base</t>
  </si>
  <si>
    <t>Costo_Unitario</t>
  </si>
  <si>
    <t>Beneficio_Neto</t>
  </si>
  <si>
    <t>$B$2</t>
  </si>
  <si>
    <t>$B$3</t>
  </si>
  <si>
    <t>$B$5</t>
  </si>
  <si>
    <t>Pesimista</t>
  </si>
  <si>
    <t>Creado por Mica Marchán el 9/8/2026</t>
  </si>
  <si>
    <t>Base</t>
  </si>
  <si>
    <t>Optimista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</si>
  <si>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</si>
  <si>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</si>
  <si>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</si>
  <si>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</si>
  <si>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</si>
  <si>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</si>
  <si>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</si>
  <si>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Unidades_Base</t>
  </si>
  <si>
    <t>Unidades_Meta_Buscar_Objetivo</t>
  </si>
  <si>
    <t>Meta_Beneficio</t>
  </si>
  <si>
    <t>Unidades_Comerciales_Redondeadas</t>
  </si>
  <si>
    <t>Necesito ayuda para desarrollar paso a paso el Checkpoint del Módulo 8 de Data Analytics: Arquitectura del Dato, Optimización de Modelos y Simulación de Escenarios. Quiero utilizar como base mi proyecto anterior de ventas de productos de cosmética y cumplir con todos los requisitos del entregable. Necesito implementar un flujo ETL con Power Query conectando un archivo CSV de transacciones y tablas maestras de Excel; realizar limpieza, tipado de datos y una modificación manual del código M incluyendo el renombrado de un paso y un comentario //. También necesito cargar las consultas al Modelo de Datos, construir en Power Pivot un esquema estrella compuesto por una tabla de hechos y dimensiones de Productos, Clientes y Calendario, con relaciones 1:N. Quiero crear medidas DAX, incluyendo al menos una que utilice VAR/RETURN, generar Estadística Descriptiva mediante Analysis ToolPak, utilizar Buscar Objetivo para determinar las unidades necesarias para alcanzar una meta de beneficio de $500.000 y crear tres escenarios financieros —Pesimista, Base y Optimista— con su correspondiente Resumen de Escenarios. Guiame paso por paso y verificá al finalizar que el archivo cumpla todos los puntos del checklist del Módulo 8.</t>
  </si>
  <si>
    <t>DASHBOARD FINAL</t>
  </si>
  <si>
    <t>Suma de Ventas</t>
  </si>
  <si>
    <t>Ventas_aux</t>
  </si>
  <si>
    <t>Margen_aux</t>
  </si>
  <si>
    <t>Conclusiones</t>
  </si>
  <si>
    <t>Venta</t>
  </si>
  <si>
    <t>Margen (%)</t>
  </si>
  <si>
    <t>Venta Media</t>
  </si>
  <si>
    <t>Objetivo</t>
  </si>
  <si>
    <t>2. Maquillaje y Perfumería lideran la facturación, mientras que Cuidado Facial presenta una participación menor dentro del total.</t>
  </si>
  <si>
    <t>3. Existe una relación positiva entre ventas y margen: las operaciones de mayor facturación tienden también a generar mayores márgenes.</t>
  </si>
  <si>
    <t>Nota:</t>
  </si>
  <si>
    <t>Los mayores niveles de venta no deben interpretarse automáticamente como mayor eficiencia o rentabilidad. Se recomienda complementar el análisis con cantidad de operaciones, ticket promedio y margen porcentual por región y categoría.</t>
  </si>
  <si>
    <t>1. La región Centro concentra el mayor volumen de ventas, superando a Norte y Sur.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</si>
</sst>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.00"/>
    <numFmt numFmtId="165" formatCode="&quot;$&quot;\ #,##0"/>
    <numFmt numFmtId="166" formatCode="_-&quot;$&quot;\ * #,##0_-;\-&quot;$&quot;\ * #,##0_-;_-&quot;$&quot;\ * &quot;-&quot;??_-;_-@_-"/>
    <numFmt numFmtId="167" formatCode="0.0%"/>
  </numFmts>
  <fonts count="15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8"/>
      <color rgb="FFFFFFFF"/>
      <name val="Calibri"/>
      <family val="2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0" fontId="0" fillId="3" borderId="0" xfId="0" applyFill="1" applyProtection="1">
      <protection locked="0"/>
    </xf>
    <xf numFmtId="164" fontId="0" fillId="3" borderId="0" xfId="0" applyNumberFormat="1" applyFill="1" applyProtection="1">
      <protection locked="0"/>
    </xf>
    <xf numFmtId="9" fontId="0" fillId="3" borderId="0" xfId="0" applyNumberFormat="1" applyFill="1" applyProtection="1">
      <protection locked="0"/>
    </xf>
    <xf numFmtId="1" fontId="0" fillId="3" borderId="0" xfId="0" applyNumberFormat="1" applyFill="1" applyProtection="1">
      <protection locked="0"/>
    </xf>
    <xf numFmtId="164" fontId="0" fillId="4" borderId="0" xfId="0" applyNumberFormat="1" applyFill="1"/>
    <xf numFmtId="0" fontId="0" fillId="4" borderId="0" xfId="0" applyFill="1" applyAlignment="1">
      <alignment horizontal="right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0" fontId="3" fillId="0" borderId="1" xfId="0" pivotButton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0" fillId="0" borderId="3" xfId="0" applyBorder="1"/>
    <xf numFmtId="0" fontId="7" fillId="0" borderId="5" xfId="0" applyFont="1" applyBorder="1" applyAlignment="1">
      <alignment horizontal="centerContinuous"/>
    </xf>
    <xf numFmtId="166" fontId="0" fillId="0" borderId="0" xfId="0" applyNumberFormat="1"/>
    <xf numFmtId="1" fontId="0" fillId="0" borderId="0" xfId="0" applyNumberFormat="1"/>
    <xf numFmtId="0" fontId="8" fillId="6" borderId="6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0" fontId="10" fillId="7" borderId="4" xfId="0" applyFont="1" applyFill="1" applyBorder="1" applyAlignment="1">
      <alignment horizontal="left"/>
    </xf>
    <xf numFmtId="0" fontId="9" fillId="7" borderId="3" xfId="0" applyFont="1" applyFill="1" applyBorder="1" applyAlignment="1">
      <alignment horizontal="left"/>
    </xf>
    <xf numFmtId="0" fontId="11" fillId="6" borderId="2" xfId="0" applyFont="1" applyFill="1" applyBorder="1" applyAlignment="1">
      <alignment horizontal="right"/>
    </xf>
    <xf numFmtId="0" fontId="11" fillId="6" borderId="6" xfId="0" applyFont="1" applyFill="1" applyBorder="1" applyAlignment="1">
      <alignment horizontal="right"/>
    </xf>
    <xf numFmtId="2" fontId="0" fillId="0" borderId="0" xfId="0" applyNumberFormat="1"/>
    <xf numFmtId="0" fontId="13" fillId="0" borderId="0" xfId="0" applyFont="1"/>
    <xf numFmtId="166" fontId="0" fillId="0" borderId="3" xfId="0" applyNumberFormat="1" applyBorder="1"/>
    <xf numFmtId="0" fontId="0" fillId="0" borderId="4" xfId="0" applyBorder="1"/>
    <xf numFmtId="0" fontId="9" fillId="7" borderId="0" xfId="0" applyFont="1" applyFill="1" applyAlignment="1">
      <alignment horizontal="left"/>
    </xf>
    <xf numFmtId="166" fontId="0" fillId="8" borderId="0" xfId="0" applyNumberFormat="1" applyFill="1"/>
    <xf numFmtId="0" fontId="12" fillId="0" borderId="0" xfId="0" applyFont="1" applyAlignment="1">
      <alignment vertical="top" wrapText="1"/>
    </xf>
    <xf numFmtId="0" fontId="13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165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8" xfId="0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4" fillId="0" borderId="0" xfId="0" applyFont="1" applyAlignment="1">
      <alignment horizontal="center" vertical="center" wrapText="1"/>
    </xf>
    <xf numFmtId="165" fontId="0" fillId="0" borderId="10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5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1" formatCode="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34" formatCode="_-&quot;$&quot;\ * #,##0.00_-;\-&quot;$&quot;\ * #,##0.00_-;_-&quot;$&quot;\ * &quot;-&quot;??_-;_-@_-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\ #,##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65" formatCode="&quot;$&quot;\ #,##0"/>
    </dxf>
    <dxf>
      <numFmt numFmtId="165" formatCode="&quot;$&quot;\ #,##0"/>
    </dxf>
    <dxf>
      <alignment horizontal="center" vertical="center" textRotation="0" wrapText="0" indent="0" justifyLastLine="0" shrinkToFit="0" readingOrder="0"/>
    </dxf>
    <dxf>
      <numFmt numFmtId="165" formatCode="&quot;$&quot;\ #,##0"/>
    </dxf>
    <dxf>
      <numFmt numFmtId="165" formatCode="&quot;$&quot;\ #,##0"/>
    </dxf>
    <dxf>
      <numFmt numFmtId="165" formatCode="&quot;$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6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microsoft.com/office/2017/10/relationships/person" Target="persons/person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El margen crece de forma consistente junto con las ventas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Motor_Dashboard_Final!$I$25:$I$42</c:f>
              <c:numCache>
                <c:formatCode>General</c:formatCode>
                <c:ptCount val="18"/>
                <c:pt idx="0">
                  <c:v>125000</c:v>
                </c:pt>
                <c:pt idx="1">
                  <c:v>98000</c:v>
                </c:pt>
                <c:pt idx="2">
                  <c:v>154000</c:v>
                </c:pt>
                <c:pt idx="3">
                  <c:v>210000</c:v>
                </c:pt>
                <c:pt idx="4">
                  <c:v>118000</c:v>
                </c:pt>
                <c:pt idx="5">
                  <c:v>176000</c:v>
                </c:pt>
                <c:pt idx="6">
                  <c:v>132000</c:v>
                </c:pt>
                <c:pt idx="7">
                  <c:v>225000</c:v>
                </c:pt>
                <c:pt idx="8">
                  <c:v>91000</c:v>
                </c:pt>
                <c:pt idx="9">
                  <c:v>145000</c:v>
                </c:pt>
                <c:pt idx="10">
                  <c:v>103000</c:v>
                </c:pt>
                <c:pt idx="11">
                  <c:v>187000</c:v>
                </c:pt>
                <c:pt idx="12">
                  <c:v>139000</c:v>
                </c:pt>
                <c:pt idx="13">
                  <c:v>238000</c:v>
                </c:pt>
                <c:pt idx="14">
                  <c:v>162000</c:v>
                </c:pt>
                <c:pt idx="15">
                  <c:v>114000</c:v>
                </c:pt>
                <c:pt idx="16">
                  <c:v>148000</c:v>
                </c:pt>
                <c:pt idx="17">
                  <c:v>252000</c:v>
                </c:pt>
              </c:numCache>
            </c:numRef>
          </c:xVal>
          <c:yVal>
            <c:numRef>
              <c:f>Motor_Dashboard_Final!$J$25:$J$42</c:f>
              <c:numCache>
                <c:formatCode>General</c:formatCode>
                <c:ptCount val="18"/>
                <c:pt idx="0">
                  <c:v>53000</c:v>
                </c:pt>
                <c:pt idx="1">
                  <c:v>37000</c:v>
                </c:pt>
                <c:pt idx="2">
                  <c:v>65000</c:v>
                </c:pt>
                <c:pt idx="3">
                  <c:v>78000</c:v>
                </c:pt>
                <c:pt idx="4">
                  <c:v>49000</c:v>
                </c:pt>
                <c:pt idx="5">
                  <c:v>72000</c:v>
                </c:pt>
                <c:pt idx="6">
                  <c:v>56000</c:v>
                </c:pt>
                <c:pt idx="7">
                  <c:v>84000</c:v>
                </c:pt>
                <c:pt idx="8">
                  <c:v>38000</c:v>
                </c:pt>
                <c:pt idx="9">
                  <c:v>61000</c:v>
                </c:pt>
                <c:pt idx="10">
                  <c:v>44000</c:v>
                </c:pt>
                <c:pt idx="11">
                  <c:v>75000</c:v>
                </c:pt>
                <c:pt idx="12">
                  <c:v>58000</c:v>
                </c:pt>
                <c:pt idx="13">
                  <c:v>89000</c:v>
                </c:pt>
                <c:pt idx="14">
                  <c:v>67000</c:v>
                </c:pt>
                <c:pt idx="15">
                  <c:v>47000</c:v>
                </c:pt>
                <c:pt idx="16">
                  <c:v>62000</c:v>
                </c:pt>
                <c:pt idx="17">
                  <c:v>94000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05-4115-A9AA-973B6C984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817727"/>
        <c:axId val="16313999"/>
      </c:scatterChart>
      <c:valAx>
        <c:axId val="97181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313999"/>
        <c:crosses val="autoZero"/>
        <c:crossBetween val="midCat"/>
      </c:valAx>
      <c:valAx>
        <c:axId val="1631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181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[PreEntrega_Modelo9_MarchanMicaela.xlsx]Motor_Dashboard_Final!TablaDinámica1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 b="0" i="0" u="none" strike="noStrike" baseline="0"/>
              <a:t>Centro lidera en ventas y mantiene márgenes similares</a:t>
            </a:r>
            <a:endParaRPr lang="es-A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Motor_Dashboard_Final!$B$3</c:f>
              <c:strCache>
                <c:ptCount val="1"/>
                <c:pt idx="0">
                  <c:v>Suma de 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Motor_Dashboard_Final!$A$4:$A$7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Motor_Dashboard_Final!$B$4:$B$7</c:f>
              <c:numCache>
                <c:formatCode>"$"\ #,##0</c:formatCode>
                <c:ptCount val="3"/>
                <c:pt idx="0">
                  <c:v>1022000</c:v>
                </c:pt>
                <c:pt idx="1">
                  <c:v>865000</c:v>
                </c:pt>
                <c:pt idx="2">
                  <c:v>930000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E-4654-A5A5-48523E846ADD}"/>
            </c:ext>
          </c:extLst>
        </c:ser>
        <c:ser>
          <c:idx val="1"/>
          <c:order val="1"/>
          <c:tx>
            <c:strRef>
              <c:f>Motor_Dashboard_Final!$C$3</c:f>
              <c:strCache>
                <c:ptCount val="1"/>
                <c:pt idx="0">
                  <c:v>Suma de Margen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Motor_Dashboard_Final!$A$4:$A$7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Motor_Dashboard_Final!$C$4:$C$7</c:f>
              <c:numCache>
                <c:formatCode>"$"\ #,##0</c:formatCode>
                <c:ptCount val="3"/>
                <c:pt idx="0">
                  <c:v>411000</c:v>
                </c:pt>
                <c:pt idx="1">
                  <c:v>353000</c:v>
                </c:pt>
                <c:pt idx="2">
                  <c:v>365000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14-4C25-AED2-698B6E204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3871"/>
        <c:axId val="16340879"/>
      </c:barChart>
      <c:catAx>
        <c:axId val="1406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340879"/>
        <c:crosses val="autoZero"/>
        <c:auto val="1"/>
        <c:lblAlgn val="ctr"/>
        <c:lblOffset val="100"/>
        <c:noMultiLvlLbl val="0"/>
      </c:catAx>
      <c:valAx>
        <c:axId val="163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06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[PreEntrega_Modelo9_MarchanMicaela.xlsx]Motor_Dashboard_Final!TablaDinámica2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 b="0" i="0" u="none" strike="noStrike" baseline="0"/>
              <a:t>Maquillaje y Perfumería concentran ventas y margen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Motor_Dashboard_Final!$E$3</c:f>
              <c:strCache>
                <c:ptCount val="1"/>
                <c:pt idx="0">
                  <c:v>Suma de 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Motor_Dashboard_Final!$D$4:$D$7</c:f>
              <c:strCache>
                <c:ptCount val="3"/>
                <c:pt idx="0">
                  <c:v>Cuidado Facial</c:v>
                </c:pt>
                <c:pt idx="1">
                  <c:v>Maquillaje</c:v>
                </c:pt>
                <c:pt idx="2">
                  <c:v>Perfumería</c:v>
                </c:pt>
              </c:strCache>
            </c:strRef>
          </c:cat>
          <c:val>
            <c:numRef>
              <c:f>Motor_Dashboard_Final!$E$4:$E$7</c:f>
              <c:numCache>
                <c:formatCode>"$"\ #,##0</c:formatCode>
                <c:ptCount val="3"/>
                <c:pt idx="0">
                  <c:v>666000</c:v>
                </c:pt>
                <c:pt idx="1">
                  <c:v>1081000</c:v>
                </c:pt>
                <c:pt idx="2">
                  <c:v>1070000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2-454F-BBAF-D415766BA4A9}"/>
            </c:ext>
          </c:extLst>
        </c:ser>
        <c:ser>
          <c:idx val="1"/>
          <c:order val="1"/>
          <c:tx>
            <c:strRef>
              <c:f>Motor_Dashboard_Final!$F$3</c:f>
              <c:strCache>
                <c:ptCount val="1"/>
                <c:pt idx="0">
                  <c:v>Suma de Margen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Motor_Dashboard_Final!$D$4:$D$7</c:f>
              <c:strCache>
                <c:ptCount val="3"/>
                <c:pt idx="0">
                  <c:v>Cuidado Facial</c:v>
                </c:pt>
                <c:pt idx="1">
                  <c:v>Maquillaje</c:v>
                </c:pt>
                <c:pt idx="2">
                  <c:v>Perfumería</c:v>
                </c:pt>
              </c:strCache>
            </c:strRef>
          </c:cat>
          <c:val>
            <c:numRef>
              <c:f>Motor_Dashboard_Final!$F$4:$F$7</c:f>
              <c:numCache>
                <c:formatCode>"$"\ #,##0</c:formatCode>
                <c:ptCount val="3"/>
                <c:pt idx="0">
                  <c:v>269000</c:v>
                </c:pt>
                <c:pt idx="1">
                  <c:v>454000</c:v>
                </c:pt>
                <c:pt idx="2">
                  <c:v>406000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FE-4183-8D3C-9C7C39BC4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83616"/>
        <c:axId val="16305359"/>
      </c:barChart>
      <c:catAx>
        <c:axId val="183708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305359"/>
        <c:crosses val="autoZero"/>
        <c:auto val="1"/>
        <c:lblAlgn val="ctr"/>
        <c:lblOffset val="100"/>
        <c:noMultiLvlLbl val="0"/>
      </c:catAx>
      <c:valAx>
        <c:axId val="1630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3708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 b="0" i="0" u="none" strike="noStrike" baseline="0"/>
              <a:t>El margen crece de forma consistente junto con las ventas</a:t>
            </a:r>
            <a:endParaRPr lang="es-A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Motor_Dashboard_Final!$I$25:$I$42</c:f>
              <c:numCache>
                <c:formatCode>General</c:formatCode>
                <c:ptCount val="18"/>
                <c:pt idx="0">
                  <c:v>125000</c:v>
                </c:pt>
                <c:pt idx="1">
                  <c:v>98000</c:v>
                </c:pt>
                <c:pt idx="2">
                  <c:v>154000</c:v>
                </c:pt>
                <c:pt idx="3">
                  <c:v>210000</c:v>
                </c:pt>
                <c:pt idx="4">
                  <c:v>118000</c:v>
                </c:pt>
                <c:pt idx="5">
                  <c:v>176000</c:v>
                </c:pt>
                <c:pt idx="6">
                  <c:v>132000</c:v>
                </c:pt>
                <c:pt idx="7">
                  <c:v>225000</c:v>
                </c:pt>
                <c:pt idx="8">
                  <c:v>91000</c:v>
                </c:pt>
                <c:pt idx="9">
                  <c:v>145000</c:v>
                </c:pt>
                <c:pt idx="10">
                  <c:v>103000</c:v>
                </c:pt>
                <c:pt idx="11">
                  <c:v>187000</c:v>
                </c:pt>
                <c:pt idx="12">
                  <c:v>139000</c:v>
                </c:pt>
                <c:pt idx="13">
                  <c:v>238000</c:v>
                </c:pt>
                <c:pt idx="14">
                  <c:v>162000</c:v>
                </c:pt>
                <c:pt idx="15">
                  <c:v>114000</c:v>
                </c:pt>
                <c:pt idx="16">
                  <c:v>148000</c:v>
                </c:pt>
                <c:pt idx="17">
                  <c:v>252000</c:v>
                </c:pt>
              </c:numCache>
            </c:numRef>
          </c:xVal>
          <c:yVal>
            <c:numRef>
              <c:f>Motor_Dashboard_Final!$J$25:$J$42</c:f>
              <c:numCache>
                <c:formatCode>General</c:formatCode>
                <c:ptCount val="18"/>
                <c:pt idx="0">
                  <c:v>53000</c:v>
                </c:pt>
                <c:pt idx="1">
                  <c:v>37000</c:v>
                </c:pt>
                <c:pt idx="2">
                  <c:v>65000</c:v>
                </c:pt>
                <c:pt idx="3">
                  <c:v>78000</c:v>
                </c:pt>
                <c:pt idx="4">
                  <c:v>49000</c:v>
                </c:pt>
                <c:pt idx="5">
                  <c:v>72000</c:v>
                </c:pt>
                <c:pt idx="6">
                  <c:v>56000</c:v>
                </c:pt>
                <c:pt idx="7">
                  <c:v>84000</c:v>
                </c:pt>
                <c:pt idx="8">
                  <c:v>38000</c:v>
                </c:pt>
                <c:pt idx="9">
                  <c:v>61000</c:v>
                </c:pt>
                <c:pt idx="10">
                  <c:v>44000</c:v>
                </c:pt>
                <c:pt idx="11">
                  <c:v>75000</c:v>
                </c:pt>
                <c:pt idx="12">
                  <c:v>58000</c:v>
                </c:pt>
                <c:pt idx="13">
                  <c:v>89000</c:v>
                </c:pt>
                <c:pt idx="14">
                  <c:v>67000</c:v>
                </c:pt>
                <c:pt idx="15">
                  <c:v>47000</c:v>
                </c:pt>
                <c:pt idx="16">
                  <c:v>62000</c:v>
                </c:pt>
                <c:pt idx="17">
                  <c:v>94000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5B-4132-A228-ADD3B5377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817727"/>
        <c:axId val="16313999"/>
      </c:scatterChart>
      <c:valAx>
        <c:axId val="97181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6313999"/>
        <c:crosses val="autoZero"/>
        <c:crossBetween val="midCat"/>
      </c:valAx>
      <c:valAx>
        <c:axId val="1631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181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8</xdr:row>
      <xdr:rowOff>22860</xdr:rowOff>
    </xdr:from>
    <xdr:to>
      <xdr:col>1</xdr:col>
      <xdr:colOff>777240</xdr:colOff>
      <xdr:row>22</xdr:row>
      <xdr:rowOff>43815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echa">
              <a:extLst>
                <a:ext uri="{FF2B5EF4-FFF2-40B4-BE49-F238E27FC236}">
                  <a16:creationId xmlns:a16="http://schemas.microsoft.com/office/drawing/2014/main" id="{B2F9C386-5BB4-377E-8889-7EFCE0F3AB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" y="1485900"/>
              <a:ext cx="172212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929640</xdr:colOff>
      <xdr:row>8</xdr:row>
      <xdr:rowOff>15241</xdr:rowOff>
    </xdr:from>
    <xdr:to>
      <xdr:col>3</xdr:col>
      <xdr:colOff>784860</xdr:colOff>
      <xdr:row>14</xdr:row>
      <xdr:rowOff>160021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ón 1">
              <a:extLst>
                <a:ext uri="{FF2B5EF4-FFF2-40B4-BE49-F238E27FC236}">
                  <a16:creationId xmlns:a16="http://schemas.microsoft.com/office/drawing/2014/main" id="{513D21D4-71A6-2CAF-FCA6-1581DEBB75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5020" y="1478281"/>
              <a:ext cx="1828800" cy="1242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342900</xdr:colOff>
      <xdr:row>7</xdr:row>
      <xdr:rowOff>175261</xdr:rowOff>
    </xdr:from>
    <xdr:to>
      <xdr:col>6</xdr:col>
      <xdr:colOff>198120</xdr:colOff>
      <xdr:row>14</xdr:row>
      <xdr:rowOff>160021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ía 1">
              <a:extLst>
                <a:ext uri="{FF2B5EF4-FFF2-40B4-BE49-F238E27FC236}">
                  <a16:creationId xmlns:a16="http://schemas.microsoft.com/office/drawing/2014/main" id="{F3B93D08-6598-7C86-6BA4-CB0441077F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500" y="1455421"/>
              <a:ext cx="1828800" cy="1264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11</xdr:col>
      <xdr:colOff>60960</xdr:colOff>
      <xdr:row>24</xdr:row>
      <xdr:rowOff>19050</xdr:rowOff>
    </xdr:from>
    <xdr:to>
      <xdr:col>16</xdr:col>
      <xdr:colOff>670560</xdr:colOff>
      <xdr:row>39</xdr:row>
      <xdr:rowOff>19050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F4E9997-163E-63DC-3B94-A0AFF7745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264795</xdr:colOff>
      <xdr:row>3</xdr:row>
      <xdr:rowOff>38100</xdr:rowOff>
    </xdr:from>
    <xdr:to>
      <xdr:col>2</xdr:col>
      <xdr:colOff>787804</xdr:colOff>
      <xdr:row>8</xdr:row>
      <xdr:rowOff>19050</xdr:rowOff>
    </xdr:to>
    <xdr:sp macro="" textlink="N13">
      <xdr:nvSpPr>
        <xdr:cNvPr id="2" name="Rectángulo 1">
          <a:extLst>
            <a:ext uri="{FF2B5EF4-FFF2-40B4-BE49-F238E27FC236}">
              <a16:creationId xmlns:a16="http://schemas.microsoft.com/office/drawing/2014/main" id="{429414D3-77F1-006F-DA42-C71AFC90942B}"/>
            </a:ext>
          </a:extLst>
        </xdr:cNvPr>
        <xdr:cNvSpPr/>
      </xdr:nvSpPr>
      <xdr:spPr>
        <a:xfrm>
          <a:off x="264795" y="744682"/>
          <a:ext cx="2102427" cy="9369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VENTAS TOTALES</a:t>
          </a:r>
          <a:br>
            <a:rPr lang="en-US" sz="1100" b="0" i="0" u="none" strike="noStrike">
              <a:solidFill>
                <a:srgbClr val="000000"/>
              </a:solidFill>
              <a:latin typeface="Aptos Narrow"/>
            </a:rPr>
          </a:br>
          <a:fld id="{B1BA9707-4706-4B4D-9E3D-35457F173B85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$ 2.817.000</a:t>
          </a:fld>
          <a:endParaRPr lang="es-AR" sz="1100" b="1"/>
        </a:p>
      </xdr:txBody>
    </xdr:sp>
    <xdr:clientData/>
  </xdr:twoCellAnchor>
  <xdr:twoCellAnchor>
    <xdr:from>
      <xdr:col>3</xdr:col>
      <xdr:colOff>161750</xdr:colOff>
      <xdr:row>3</xdr:row>
      <xdr:rowOff>38100</xdr:rowOff>
    </xdr:from>
    <xdr:to>
      <xdr:col>5</xdr:col>
      <xdr:colOff>685625</xdr:colOff>
      <xdr:row>8</xdr:row>
      <xdr:rowOff>19050</xdr:rowOff>
    </xdr:to>
    <xdr:sp macro="" textlink="N14">
      <xdr:nvSpPr>
        <xdr:cNvPr id="3" name="Rectángulo 2">
          <a:extLst>
            <a:ext uri="{FF2B5EF4-FFF2-40B4-BE49-F238E27FC236}">
              <a16:creationId xmlns:a16="http://schemas.microsoft.com/office/drawing/2014/main" id="{5772CE66-1ED1-4F91-9979-9EE05110B0DD}"/>
            </a:ext>
          </a:extLst>
        </xdr:cNvPr>
        <xdr:cNvSpPr/>
      </xdr:nvSpPr>
      <xdr:spPr>
        <a:xfrm>
          <a:off x="2530877" y="744682"/>
          <a:ext cx="2103293" cy="9369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MARGEN TOTAL</a:t>
          </a:r>
          <a:br>
            <a:rPr lang="en-US" sz="1100" b="0" i="0" u="none" strike="noStrike">
              <a:solidFill>
                <a:srgbClr val="000000"/>
              </a:solidFill>
              <a:latin typeface="Aptos Narrow"/>
            </a:rPr>
          </a:br>
          <a:fld id="{CC1BA750-BCB4-44B2-A4F8-C5F210FF4123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$ 1.129.000</a:t>
          </a:fld>
          <a:endParaRPr lang="es-AR" sz="1100" b="1"/>
        </a:p>
      </xdr:txBody>
    </xdr:sp>
    <xdr:clientData/>
  </xdr:twoCellAnchor>
  <xdr:twoCellAnchor>
    <xdr:from>
      <xdr:col>6</xdr:col>
      <xdr:colOff>59570</xdr:colOff>
      <xdr:row>3</xdr:row>
      <xdr:rowOff>38100</xdr:rowOff>
    </xdr:from>
    <xdr:to>
      <xdr:col>8</xdr:col>
      <xdr:colOff>583445</xdr:colOff>
      <xdr:row>8</xdr:row>
      <xdr:rowOff>19050</xdr:rowOff>
    </xdr:to>
    <xdr:sp macro="" textlink="N12">
      <xdr:nvSpPr>
        <xdr:cNvPr id="4" name="Rectángulo 3">
          <a:extLst>
            <a:ext uri="{FF2B5EF4-FFF2-40B4-BE49-F238E27FC236}">
              <a16:creationId xmlns:a16="http://schemas.microsoft.com/office/drawing/2014/main" id="{C839842D-C578-48DF-945C-0979DF0A6A9B}"/>
            </a:ext>
          </a:extLst>
        </xdr:cNvPr>
        <xdr:cNvSpPr/>
      </xdr:nvSpPr>
      <xdr:spPr>
        <a:xfrm>
          <a:off x="4797825" y="744682"/>
          <a:ext cx="2103293" cy="9369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Aptos Narrow"/>
            </a:rPr>
            <a:t>MARGEN %</a:t>
          </a:r>
          <a:br>
            <a:rPr lang="en-US" sz="1100" b="0" i="0" u="none" strike="noStrike">
              <a:solidFill>
                <a:srgbClr val="000000"/>
              </a:solidFill>
              <a:latin typeface="Aptos Narrow"/>
            </a:rPr>
          </a:br>
          <a:r>
            <a:rPr lang="es-AR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40,1%</a:t>
          </a:r>
          <a:r>
            <a:rPr lang="es-AR" sz="1800" b="1">
              <a:effectLst/>
            </a:rPr>
            <a:t> </a:t>
          </a:r>
          <a:endParaRPr lang="en-US" sz="1100" b="1"/>
        </a:p>
      </xdr:txBody>
    </xdr:sp>
    <xdr:clientData/>
  </xdr:twoCellAnchor>
  <xdr:twoCellAnchor>
    <xdr:from>
      <xdr:col>8</xdr:col>
      <xdr:colOff>747100</xdr:colOff>
      <xdr:row>3</xdr:row>
      <xdr:rowOff>38100</xdr:rowOff>
    </xdr:from>
    <xdr:to>
      <xdr:col>11</xdr:col>
      <xdr:colOff>480400</xdr:colOff>
      <xdr:row>8</xdr:row>
      <xdr:rowOff>19050</xdr:rowOff>
    </xdr:to>
    <xdr:sp macro="" textlink="N12">
      <xdr:nvSpPr>
        <xdr:cNvPr id="5" name="Rectángulo 4">
          <a:extLst>
            <a:ext uri="{FF2B5EF4-FFF2-40B4-BE49-F238E27FC236}">
              <a16:creationId xmlns:a16="http://schemas.microsoft.com/office/drawing/2014/main" id="{819D9E0C-5DAC-448C-8317-385A313E4180}"/>
            </a:ext>
          </a:extLst>
        </xdr:cNvPr>
        <xdr:cNvSpPr/>
      </xdr:nvSpPr>
      <xdr:spPr>
        <a:xfrm>
          <a:off x="7064773" y="744682"/>
          <a:ext cx="2102427" cy="9369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0" i="0" u="none" strike="noStrike" baseline="0">
              <a:solidFill>
                <a:srgbClr val="000000"/>
              </a:solidFill>
              <a:latin typeface="Aptos Narrow"/>
            </a:rPr>
            <a:t>VENTA PROMEDIO</a:t>
          </a:r>
          <a:endParaRPr lang="en-US" sz="1800" b="1" i="0" u="none" strike="noStrike" baseline="0">
            <a:solidFill>
              <a:srgbClr val="000000"/>
            </a:solidFill>
            <a:latin typeface="Aptos Narrow"/>
          </a:endParaRPr>
        </a:p>
        <a:p>
          <a:pPr algn="ctr"/>
          <a:fld id="{8B1F2FFA-E9C7-4ECA-8B28-4FACB43AAB7E}" type="TxLink">
            <a:rPr lang="en-US" sz="1800" b="1" i="0" u="none" strike="noStrike" baseline="0">
              <a:solidFill>
                <a:srgbClr val="000000"/>
              </a:solidFill>
              <a:latin typeface="Aptos Narrow"/>
            </a:rPr>
            <a:pPr algn="ctr"/>
            <a:t>$ 156.500</a:t>
          </a:fld>
          <a:endParaRPr lang="es-AR" sz="1100" b="1" baseline="0"/>
        </a:p>
      </xdr:txBody>
    </xdr:sp>
    <xdr:clientData/>
  </xdr:twoCellAnchor>
  <xdr:twoCellAnchor>
    <xdr:from>
      <xdr:col>0</xdr:col>
      <xdr:colOff>264795</xdr:colOff>
      <xdr:row>9</xdr:row>
      <xdr:rowOff>85725</xdr:rowOff>
    </xdr:from>
    <xdr:to>
      <xdr:col>5</xdr:col>
      <xdr:colOff>677462</xdr:colOff>
      <xdr:row>24</xdr:row>
      <xdr:rowOff>99725</xdr:rowOff>
    </xdr:to>
    <xdr:graphicFrame macro="">
      <xdr:nvGraphicFramePr>
        <xdr:cNvPr id="6" name="Gráfico 4">
          <a:extLst>
            <a:ext uri="{FF2B5EF4-FFF2-40B4-BE49-F238E27FC236}">
              <a16:creationId xmlns:a16="http://schemas.microsoft.com/office/drawing/2014/main" id="{ADA536D2-2A7E-7671-863B-F4AA4162F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67733</xdr:colOff>
      <xdr:row>9</xdr:row>
      <xdr:rowOff>85725</xdr:rowOff>
    </xdr:from>
    <xdr:to>
      <xdr:col>11</xdr:col>
      <xdr:colOff>480400</xdr:colOff>
      <xdr:row>24</xdr:row>
      <xdr:rowOff>99725</xdr:rowOff>
    </xdr:to>
    <xdr:graphicFrame macro="">
      <xdr:nvGraphicFramePr>
        <xdr:cNvPr id="7" name="Gráfico 5">
          <a:extLst>
            <a:ext uri="{FF2B5EF4-FFF2-40B4-BE49-F238E27FC236}">
              <a16:creationId xmlns:a16="http://schemas.microsoft.com/office/drawing/2014/main" id="{99E9C748-3987-0B81-14A7-9547335C6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752475</xdr:colOff>
      <xdr:row>7</xdr:row>
      <xdr:rowOff>169718</xdr:rowOff>
    </xdr:from>
    <xdr:to>
      <xdr:col>13</xdr:col>
      <xdr:colOff>872837</xdr:colOff>
      <xdr:row>22</xdr:row>
      <xdr:rowOff>60614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1">
              <a:extLst>
                <a:ext uri="{FF2B5EF4-FFF2-40B4-BE49-F238E27FC236}">
                  <a16:creationId xmlns:a16="http://schemas.microsoft.com/office/drawing/2014/main" id="{A9AB1CEC-64B5-4911-9C34-1D141E5770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39275" y="1693718"/>
              <a:ext cx="1699780" cy="25925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787977</xdr:colOff>
      <xdr:row>31</xdr:row>
      <xdr:rowOff>48491</xdr:rowOff>
    </xdr:from>
    <xdr:to>
      <xdr:col>14</xdr:col>
      <xdr:colOff>148936</xdr:colOff>
      <xdr:row>38</xdr:row>
      <xdr:rowOff>23726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egión 2">
              <a:extLst>
                <a:ext uri="{FF2B5EF4-FFF2-40B4-BE49-F238E27FC236}">
                  <a16:creationId xmlns:a16="http://schemas.microsoft.com/office/drawing/2014/main" id="{7F4455D9-E462-4822-8ACA-96A025ED62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74777" y="5895109"/>
              <a:ext cx="1827068" cy="1235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774123</xdr:colOff>
      <xdr:row>23</xdr:row>
      <xdr:rowOff>51954</xdr:rowOff>
    </xdr:from>
    <xdr:to>
      <xdr:col>14</xdr:col>
      <xdr:colOff>135082</xdr:colOff>
      <xdr:row>30</xdr:row>
      <xdr:rowOff>50049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ategoría 2">
              <a:extLst>
                <a:ext uri="{FF2B5EF4-FFF2-40B4-BE49-F238E27FC236}">
                  <a16:creationId xmlns:a16="http://schemas.microsoft.com/office/drawing/2014/main" id="{63173C3A-1E6C-425C-B82B-76CFB74340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0923" y="4457699"/>
              <a:ext cx="1827068" cy="12588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67733</xdr:colOff>
      <xdr:row>24</xdr:row>
      <xdr:rowOff>177800</xdr:rowOff>
    </xdr:from>
    <xdr:to>
      <xdr:col>11</xdr:col>
      <xdr:colOff>480400</xdr:colOff>
      <xdr:row>40</xdr:row>
      <xdr:rowOff>5533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3A04B4F-9A78-46B3-B447-F1606D732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251460</xdr:colOff>
      <xdr:row>11</xdr:row>
      <xdr:rowOff>38101</xdr:rowOff>
    </xdr:from>
    <xdr:to>
      <xdr:col>7</xdr:col>
      <xdr:colOff>495300</xdr:colOff>
      <xdr:row>17</xdr:row>
      <xdr:rowOff>152401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ón">
              <a:extLst>
                <a:ext uri="{FF2B5EF4-FFF2-40B4-BE49-F238E27FC236}">
                  <a16:creationId xmlns:a16="http://schemas.microsoft.com/office/drawing/2014/main" id="{F408B4D2-EFE6-1614-5B4B-74F18FA0D6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7300" y="2247901"/>
              <a:ext cx="1828800" cy="1211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571500</xdr:colOff>
      <xdr:row>11</xdr:row>
      <xdr:rowOff>22861</xdr:rowOff>
    </xdr:from>
    <xdr:to>
      <xdr:col>10</xdr:col>
      <xdr:colOff>22860</xdr:colOff>
      <xdr:row>17</xdr:row>
      <xdr:rowOff>167641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ía">
              <a:extLst>
                <a:ext uri="{FF2B5EF4-FFF2-40B4-BE49-F238E27FC236}">
                  <a16:creationId xmlns:a16="http://schemas.microsoft.com/office/drawing/2014/main" id="{3367F44C-2EE0-E009-5DE8-C836564EB5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72300" y="2232661"/>
              <a:ext cx="1828800" cy="1242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228600</xdr:colOff>
          <xdr:row>2</xdr:row>
          <xdr:rowOff>76200</xdr:rowOff>
        </xdr:from>
        <xdr:to>
          <xdr:col>1</xdr:col>
          <xdr:colOff>1310640</xdr:colOff>
          <xdr:row>9</xdr:row>
          <xdr:rowOff>137160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8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AR" sz="1100" b="0" i="0" u="none" strike="noStrike" baseline="0">
                  <a:solidFill>
                    <a:srgbClr val="000000"/>
                  </a:solidFill>
                  <a:latin typeface="Aptos Narrow"/>
                </a:rPr>
                <a:t>Actualizar Datos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76200</xdr:colOff>
          <xdr:row>2</xdr:row>
          <xdr:rowOff>60960</xdr:rowOff>
        </xdr:from>
        <xdr:to>
          <xdr:col>5</xdr:col>
          <xdr:colOff>38100</xdr:colOff>
          <xdr:row>9</xdr:row>
          <xdr:rowOff>121920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8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AR" sz="1100" b="0" i="0" u="none" strike="noStrike" baseline="0">
                  <a:solidFill>
                    <a:srgbClr val="000000"/>
                  </a:solidFill>
                  <a:latin typeface="Aptos Narrow"/>
                </a:rPr>
                <a:t>Aplicar Formato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297180</xdr:colOff>
          <xdr:row>2</xdr:row>
          <xdr:rowOff>91440</xdr:rowOff>
        </xdr:from>
        <xdr:to>
          <xdr:col>8</xdr:col>
          <xdr:colOff>121920</xdr:colOff>
          <xdr:row>9</xdr:row>
          <xdr:rowOff>99060</xdr:rowOff>
        </xdr:to>
        <xdr:sp macro="" textlink="">
          <xdr:nvSpPr>
            <xdr:cNvPr id="5123" name="Butto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8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AR" sz="1100" b="0" i="0" u="none" strike="noStrike" baseline="0">
                  <a:solidFill>
                    <a:srgbClr val="000000"/>
                  </a:solidFill>
                  <a:latin typeface="Aptos Narrow"/>
                </a:rPr>
                <a:t>Exportar a PDF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449580</xdr:colOff>
          <xdr:row>2</xdr:row>
          <xdr:rowOff>114300</xdr:rowOff>
        </xdr:from>
        <xdr:to>
          <xdr:col>11</xdr:col>
          <xdr:colOff>152400</xdr:colOff>
          <xdr:row>9</xdr:row>
          <xdr:rowOff>83820</xdr:rowOff>
        </xdr:to>
        <xdr:sp macro="" textlink="">
          <xdr:nvSpPr>
            <xdr:cNvPr id="5124" name="Butto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8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AR" sz="1100" b="0" i="0" u="none" strike="noStrike" baseline="0">
                  <a:solidFill>
                    <a:srgbClr val="000000"/>
                  </a:solidFill>
                  <a:latin typeface="Aptos Narrow"/>
                </a:rPr>
                <a:t>Limpiar Filtros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53340</xdr:colOff>
          <xdr:row>2</xdr:row>
          <xdr:rowOff>83820</xdr:rowOff>
        </xdr:from>
        <xdr:to>
          <xdr:col>5</xdr:col>
          <xdr:colOff>441960</xdr:colOff>
          <xdr:row>11</xdr:row>
          <xdr:rowOff>76200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9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AR" sz="1100" b="0" i="0" u="none" strike="noStrike" baseline="0">
                  <a:solidFill>
                    <a:srgbClr val="000000"/>
                  </a:solidFill>
                  <a:latin typeface="Aptos Narrow"/>
                </a:rPr>
                <a:t>Archivar Simulación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a Marchán" refreshedDate="46239.642403819445" createdVersion="8" refreshedVersion="8" minRefreshableVersion="3" recordCount="18" xr:uid="{9AEC50E0-283E-46C1-BEE5-101806AC496A}">
  <cacheSource type="worksheet">
    <worksheetSource name="Fact_Ventas"/>
  </cacheSource>
  <cacheFields count="7">
    <cacheField name="Fecha" numFmtId="14">
      <sharedItems containsSemiMixedTypes="0" containsNonDate="0" containsDate="1" containsString="0" minDate="2026-01-05T00:00:00" maxDate="2026-06-29T00:00:00" count="18">
        <d v="2026-01-05T00:00:00"/>
        <d v="2026-01-12T00:00:00"/>
        <d v="2026-01-20T00:00:00"/>
        <d v="2026-02-04T00:00:00"/>
        <d v="2026-02-15T00:00:00"/>
        <d v="2026-02-24T00:00:00"/>
        <d v="2026-03-08T00:00:00"/>
        <d v="2026-03-17T00:00:00"/>
        <d v="2026-03-29T00:00:00"/>
        <d v="2026-04-09T00:00:00"/>
        <d v="2026-04-18T00:00:00"/>
        <d v="2026-04-27T00:00:00"/>
        <d v="2026-05-06T00:00:00"/>
        <d v="2026-05-16T00:00:00"/>
        <d v="2026-05-25T00:00:00"/>
        <d v="2026-06-07T00:00:00"/>
        <d v="2026-06-19T00:00:00"/>
        <d v="2026-06-28T00:00:00"/>
      </sharedItems>
    </cacheField>
    <cacheField name="Región" numFmtId="0">
      <sharedItems count="3">
        <s v="Norte"/>
        <s v="Sur"/>
        <s v="Centro"/>
      </sharedItems>
    </cacheField>
    <cacheField name="Categoría" numFmtId="0">
      <sharedItems count="3">
        <s v="Maquillaje"/>
        <s v="Cuidado Facial"/>
        <s v="Perfumería"/>
      </sharedItems>
    </cacheField>
    <cacheField name="Producto" numFmtId="0">
      <sharedItems/>
    </cacheField>
    <cacheField name="Ventas" numFmtId="0">
      <sharedItems containsSemiMixedTypes="0" containsString="0" containsNumber="1" containsInteger="1" minValue="91000" maxValue="252000" count="18">
        <n v="125000"/>
        <n v="98000"/>
        <n v="154000"/>
        <n v="210000"/>
        <n v="118000"/>
        <n v="176000"/>
        <n v="132000"/>
        <n v="225000"/>
        <n v="91000"/>
        <n v="145000"/>
        <n v="103000"/>
        <n v="187000"/>
        <n v="139000"/>
        <n v="238000"/>
        <n v="162000"/>
        <n v="114000"/>
        <n v="148000"/>
        <n v="252000"/>
      </sharedItems>
    </cacheField>
    <cacheField name="Costo" numFmtId="0">
      <sharedItems containsSemiMixedTypes="0" containsString="0" containsNumber="1" containsInteger="1" minValue="53000" maxValue="158000"/>
    </cacheField>
    <cacheField name="Margen" numFmtId="0">
      <sharedItems containsSemiMixedTypes="0" containsString="0" containsNumber="1" containsInteger="1" minValue="37000" maxValue="94000" count="18">
        <n v="53000"/>
        <n v="37000"/>
        <n v="65000"/>
        <n v="78000"/>
        <n v="49000"/>
        <n v="72000"/>
        <n v="56000"/>
        <n v="84000"/>
        <n v="38000"/>
        <n v="61000"/>
        <n v="44000"/>
        <n v="75000"/>
        <n v="58000"/>
        <n v="89000"/>
        <n v="67000"/>
        <n v="47000"/>
        <n v="62000"/>
        <n v="94000"/>
      </sharedItems>
    </cacheField>
  </cacheFields>
  <extLst>
    <ext xmlns:x14="http://schemas.microsoft.com/office/spreadsheetml/2009/9/main" uri="{725AE2AE-9491-48be-B2B4-4EB974FC3084}">
      <x14:pivotCacheDefinition pivotCacheId="17963453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s v="Labial Matte"/>
    <x v="0"/>
    <n v="72000"/>
    <x v="0"/>
  </r>
  <r>
    <x v="1"/>
    <x v="1"/>
    <x v="1"/>
    <s v="Crema Hidratante"/>
    <x v="1"/>
    <n v="61000"/>
    <x v="1"/>
  </r>
  <r>
    <x v="2"/>
    <x v="2"/>
    <x v="0"/>
    <s v="Base Fluida"/>
    <x v="2"/>
    <n v="89000"/>
    <x v="2"/>
  </r>
  <r>
    <x v="3"/>
    <x v="0"/>
    <x v="2"/>
    <s v="Perfume Floral"/>
    <x v="3"/>
    <n v="132000"/>
    <x v="3"/>
  </r>
  <r>
    <x v="4"/>
    <x v="1"/>
    <x v="0"/>
    <s v="Máscara de Pestañas"/>
    <x v="4"/>
    <n v="69000"/>
    <x v="4"/>
  </r>
  <r>
    <x v="5"/>
    <x v="2"/>
    <x v="1"/>
    <s v="Sérum Facial"/>
    <x v="5"/>
    <n v="104000"/>
    <x v="5"/>
  </r>
  <r>
    <x v="6"/>
    <x v="0"/>
    <x v="0"/>
    <s v="Corrector"/>
    <x v="6"/>
    <n v="76000"/>
    <x v="6"/>
  </r>
  <r>
    <x v="7"/>
    <x v="1"/>
    <x v="2"/>
    <s v="Perfume Cítrico"/>
    <x v="7"/>
    <n v="141000"/>
    <x v="7"/>
  </r>
  <r>
    <x v="8"/>
    <x v="2"/>
    <x v="1"/>
    <s v="Agua Micelar"/>
    <x v="8"/>
    <n v="53000"/>
    <x v="8"/>
  </r>
  <r>
    <x v="9"/>
    <x v="0"/>
    <x v="2"/>
    <s v="Body Splash"/>
    <x v="9"/>
    <n v="84000"/>
    <x v="9"/>
  </r>
  <r>
    <x v="10"/>
    <x v="1"/>
    <x v="0"/>
    <s v="Delineador"/>
    <x v="10"/>
    <n v="59000"/>
    <x v="10"/>
  </r>
  <r>
    <x v="11"/>
    <x v="2"/>
    <x v="1"/>
    <s v="Protector Facial"/>
    <x v="11"/>
    <n v="112000"/>
    <x v="11"/>
  </r>
  <r>
    <x v="12"/>
    <x v="0"/>
    <x v="0"/>
    <s v="Rubor Compacto"/>
    <x v="12"/>
    <n v="81000"/>
    <x v="12"/>
  </r>
  <r>
    <x v="13"/>
    <x v="1"/>
    <x v="2"/>
    <s v="Perfume Amaderado"/>
    <x v="13"/>
    <n v="149000"/>
    <x v="13"/>
  </r>
  <r>
    <x v="14"/>
    <x v="2"/>
    <x v="0"/>
    <s v="Polvo Compacto"/>
    <x v="14"/>
    <n v="95000"/>
    <x v="14"/>
  </r>
  <r>
    <x v="15"/>
    <x v="0"/>
    <x v="1"/>
    <s v="Gel de Limpieza"/>
    <x v="15"/>
    <n v="67000"/>
    <x v="15"/>
  </r>
  <r>
    <x v="16"/>
    <x v="1"/>
    <x v="0"/>
    <s v="Sombra de Ojos"/>
    <x v="16"/>
    <n v="86000"/>
    <x v="16"/>
  </r>
  <r>
    <x v="17"/>
    <x v="2"/>
    <x v="2"/>
    <s v="Perfume Dulce"/>
    <x v="17"/>
    <n v="158000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4049D-E4F7-48C9-8B90-C37E51D3990C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D3:F7" firstHeaderRow="0" firstDataRow="1" firstDataCol="1"/>
  <pivotFields count="7"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s" fld="4" baseField="0" baseItem="0" numFmtId="165"/>
    <dataField name="Suma de Margen" fld="6" baseField="0" baseItem="0"/>
  </dataFields>
  <formats count="1">
    <format dxfId="52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F4601-D31D-4C05-98CB-8634C335EB88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7">
  <location ref="A3:C7" firstHeaderRow="0" firstDataRow="1" firstDataCol="1"/>
  <pivotFields count="7"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s" fld="4" baseField="0" baseItem="0" numFmtId="165"/>
    <dataField name="Suma de Margen" fld="6" baseField="0" baseItem="0"/>
  </dataFields>
  <formats count="1">
    <format dxfId="53">
      <pivotArea outline="0" collapsedLevelsAreSubtotals="1" fieldPosition="0"/>
    </format>
  </formats>
  <chartFormats count="2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A9F9F-F5BD-4406-9285-0F4E059019F5}" name="TablaDiná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F24:H43" firstHeaderRow="0" firstDataRow="1" firstDataCol="1"/>
  <pivotFields count="7">
    <pivotField axis="axisRow"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entas" fld="4" baseField="0" baseItem="0"/>
    <dataField name="Suma de Margen" fld="6" baseField="0" baseItem="0"/>
  </dataFields>
  <formats count="1">
    <format dxfId="54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83FF2E-8D67-4914-A884-DC3CF68013E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2:E17" firstHeaderRow="1" firstDataRow="2" firstDataCol="1"/>
  <pivotFields count="7"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a de Margen" fld="6" baseField="1" baseItem="0" numFmtId="165"/>
  </dataFields>
  <formats count="41"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2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2" count="0"/>
        </references>
      </pivotArea>
    </format>
    <format dxfId="34">
      <pivotArea dataOnly="0" labelOnly="1" grandCol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2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grandCol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2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grandCol="1" outline="0" fieldPosition="0"/>
    </format>
    <format>
      <pivotArea type="all" dataOnly="0" outline="0" fieldPosition="0"/>
    </format>
    <format>
      <pivotArea outline="0" collapsedLevelsAreSubtotals="1" fieldPosition="0"/>
    </format>
    <format>
      <pivotArea type="origin" dataOnly="0" labelOnly="1" outline="0" fieldPosition="0"/>
    </format>
    <format>
      <pivotArea field="2" type="button" dataOnly="0" labelOnly="1" outline="0" axis="axisCol" fieldPosition="0"/>
    </format>
    <format>
      <pivotArea type="topRight" dataOnly="0" labelOnly="1" outline="0" fieldPosition="0"/>
    </format>
    <format>
      <pivotArea field="1" type="button" dataOnly="0" labelOnly="1" outline="0" axis="axisRow" fieldPosition="0"/>
    </format>
    <format>
      <pivotArea dataOnly="0" labelOnly="1" fieldPosition="0">
        <references count="1">
          <reference field="1" count="0"/>
        </references>
      </pivotArea>
    </format>
    <format>
      <pivotArea dataOnly="0" labelOnly="1" grandRow="1" outline="0" fieldPosition="0"/>
    </format>
    <format>
      <pivotArea dataOnly="0" labelOnly="1" fieldPosition="0">
        <references count="1">
          <reference field="2" count="0"/>
        </references>
      </pivotArea>
    </format>
    <format>
      <pivotArea dataOnly="0" labelOnly="1" grandCol="1" outline="0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5" xr16:uid="{C58EE35D-154B-40EA-8BEA-FAA4A3E8F538}" autoFormatId="16" applyNumberFormats="0" applyBorderFormats="0" applyFontFormats="0" applyPatternFormats="0" applyAlignmentFormats="0" applyWidthHeightFormats="0">
  <queryTableRefresh nextId="12">
    <queryTableFields count="9">
      <queryTableField id="1" name="Fecha" tableColumnId="1"/>
      <queryTableField id="2" name="Región" tableColumnId="2"/>
      <queryTableField id="3" name="Categoría" tableColumnId="3"/>
      <queryTableField id="4" name="Producto" tableColumnId="4"/>
      <queryTableField id="5" name="Ventas" tableColumnId="5"/>
      <queryTableField id="6" name="Costo" tableColumnId="6"/>
      <queryTableField id="8" name="ID_Producto" tableColumnId="8"/>
      <queryTableField id="9" name="ID_Cliente" tableColumnId="9"/>
      <queryTableField id="7" name="Margen" tableColumnId="7"/>
    </queryTableFields>
  </queryTableRefresh>
  <extLst>
    <ext xmlns:x15="http://schemas.microsoft.com/office/spreadsheetml/2010/11/main" uri="{883FBD77-0823-4a55-B5E3-86C4891E6966}">
      <x15:queryTable sourceDataName="Consulta - Fact_Ventas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A9B40BE0-E10B-462D-B1EA-68F8E4940101}" sourceName="Fecha">
  <pivotTables>
    <pivotTable tabId="14" name="TablaDinámica1"/>
    <pivotTable tabId="14" name="TablaDinámica2"/>
    <pivotTable tabId="5" name="TablaDinámica1"/>
    <pivotTable tabId="14" name="TablaDinámica4"/>
  </pivotTables>
  <data>
    <tabular pivotCacheId="1796345322">
      <items count="1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1" xr10:uid="{682D8487-6FC0-4F07-A546-D81773EC00BA}" sourceName="Región">
  <pivotTables>
    <pivotTable tabId="14" name="TablaDinámica1"/>
    <pivotTable tabId="14" name="TablaDinámica2"/>
    <pivotTable tabId="5" name="TablaDinámica1"/>
    <pivotTable tabId="14" name="TablaDinámica4"/>
  </pivotTables>
  <data>
    <tabular pivotCacheId="1796345322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1" xr10:uid="{0F1F7142-EE38-4670-8B37-BF9AB19CBAFA}" sourceName="Categoría">
  <pivotTables>
    <pivotTable tabId="14" name="TablaDinámica1"/>
    <pivotTable tabId="14" name="TablaDinámica2"/>
    <pivotTable tabId="5" name="TablaDinámica1"/>
    <pivotTable tabId="14" name="TablaDinámica4"/>
  </pivotTables>
  <data>
    <tabular pivotCacheId="1796345322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9A179A5C-920B-48E9-9272-C1E45EB561E7}" cache="SegmentaciónDeDatos_Fecha" caption="Fecha" rowHeight="247650"/>
  <slicer name="Región 1" xr10:uid="{45C05064-A2F7-43FA-ABC6-EAA68F9344BC}" cache="SegmentaciónDeDatos_Región1" caption="Región" rowHeight="247650"/>
  <slicer name="Categoría 1" xr10:uid="{61E390EE-F8E8-480A-9FAD-93BF281C8195}" cache="SegmentaciónDeDatos_Categoría1" caption="Categoría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1" xr10:uid="{B24C2A2C-2B55-4D7C-B3E6-05969FE9CA2D}" cache="SegmentaciónDeDatos_Fecha" caption="Fecha" startItem="10" rowHeight="247650"/>
  <slicer name="Región 2" xr10:uid="{EE5D52D7-DE87-403A-9D59-F22B7F617D22}" cache="SegmentaciónDeDatos_Región1" caption="Región" rowHeight="247650"/>
  <slicer name="Categoría 2" xr10:uid="{D812A25F-0B8A-4B38-B601-5D0402651746}" cache="SegmentaciónDeDatos_Categoría1" caption="Categoría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ón" xr10:uid="{E30EA0DD-26D5-471D-837E-5D0EDA91AD71}" cache="SegmentaciónDeDatos_Región1" caption="Región" rowHeight="247650"/>
  <slicer name="Categoría" xr10:uid="{37DF1D9B-C0F7-4CC3-930C-9C5C70A2088D}" cache="SegmentaciónDeDatos_Categoría1" caption="Categoría" rowHeight="2476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CF6D73-C921-4C6D-A790-6AEBF98B8AA1}" name="Tabla6" displayName="Tabla6" ref="A41:B59" totalsRowShown="0" headerRowDxfId="51">
  <autoFilter ref="A41:B59" xr:uid="{65CF6D73-C921-4C6D-A790-6AEBF98B8AA1}"/>
  <tableColumns count="2">
    <tableColumn id="1" xr3:uid="{93FD34BA-1724-4AF9-A4BD-EB4661A5048D}" name="Ventas" dataDxfId="50"/>
    <tableColumn id="2" xr3:uid="{DB1D16E9-FEE6-4A85-91A8-68D30B7EFA01}" name="Margen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CE4877-3C29-44FC-B881-930D85D700D6}" name="Fact_Ventas" displayName="Fact_Ventas" ref="A1:I19" tableType="queryTable" totalsRowShown="0">
  <autoFilter ref="A1:I19" xr:uid="{3BCE4877-3C29-44FC-B881-930D85D700D6}"/>
  <tableColumns count="9">
    <tableColumn id="1" xr3:uid="{5608CB60-0353-4BE3-8279-C87A76CD3CC3}" uniqueName="1" name="Fecha" queryTableFieldId="1" dataDxfId="48"/>
    <tableColumn id="2" xr3:uid="{40A1962D-0028-42DA-88DB-A6BDC8137555}" uniqueName="2" name="Región" queryTableFieldId="2" dataDxfId="47"/>
    <tableColumn id="3" xr3:uid="{AD3ED046-6FAE-4570-9BE0-509C9A61BB30}" uniqueName="3" name="Categoría" queryTableFieldId="3" dataDxfId="46"/>
    <tableColumn id="4" xr3:uid="{DCEA6FB9-A337-4747-95BC-418F27591AC3}" uniqueName="4" name="Producto" queryTableFieldId="4" dataDxfId="45"/>
    <tableColumn id="5" xr3:uid="{1E5CF2D3-2F53-4B63-A45F-60151F5C5FFA}" uniqueName="5" name="Ventas" queryTableFieldId="5"/>
    <tableColumn id="6" xr3:uid="{AEFE01E7-351A-4899-AF4B-E0FFC69E56B8}" uniqueName="6" name="Costo" queryTableFieldId="6"/>
    <tableColumn id="8" xr3:uid="{655E7F02-3492-427D-9579-6B6EADC027E0}" uniqueName="8" name="ID_Producto" queryTableFieldId="8"/>
    <tableColumn id="9" xr3:uid="{9AD42D56-F0B5-4D2A-9B5D-105B6D6A76CB}" uniqueName="9" name="ID_Cliente" queryTableFieldId="9"/>
    <tableColumn id="7" xr3:uid="{B1262A2D-8F9F-4F1F-9EE8-01991C9F2A3C}" uniqueName="7" name="Margen" queryTableFieldId="7" dataDxfId="4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3082B-CF4D-4254-B00D-42961294AC78}" name="tblclientes" displayName="tblclientes" ref="A1:C6" totalsRowShown="0">
  <autoFilter ref="A1:C6" xr:uid="{F123082B-CF4D-4254-B00D-42961294AC78}"/>
  <tableColumns count="3">
    <tableColumn id="1" xr3:uid="{6FF5E26F-2ED2-4F53-8BC4-731006FC81D9}" name="ID_Cliente" dataDxfId="12"/>
    <tableColumn id="2" xr3:uid="{DED5351C-01AC-4E34-BBB5-5D32A137F377}" name="Nombre"/>
    <tableColumn id="3" xr3:uid="{9A780581-7D82-4D8C-B61E-DF8201F7136A}" name="Empres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7A090-D29C-4E6F-815C-14FABD2C7C8D}" name="tblhistorico" displayName="tblhistorico" ref="A1:H6" totalsRowShown="0">
  <autoFilter ref="A1:H6" xr:uid="{3D67A090-D29C-4E6F-815C-14FABD2C7C8D}"/>
  <tableColumns count="8">
    <tableColumn id="1" xr3:uid="{2782AB79-03E7-464E-93DA-4726F54AAD43}" name="ID_Simulacion" dataDxfId="11"/>
    <tableColumn id="2" xr3:uid="{ED034BA7-8839-4511-93F2-4DEC9018CBF3}" name="Fecha" dataDxfId="10"/>
    <tableColumn id="3" xr3:uid="{5792051A-59CB-4E24-B996-06AE1E84DE77}" name="ID_Cliente" dataDxfId="9"/>
    <tableColumn id="4" xr3:uid="{ADA608C3-72C3-4FB6-B03F-D18597B7FD8E}" name="Monto" dataDxfId="8"/>
    <tableColumn id="5" xr3:uid="{A8E4EBAE-DF5A-499D-8AC0-A8BD5A0AD852}" name="Tasa_Anual" dataDxfId="7"/>
    <tableColumn id="6" xr3:uid="{245352CB-9A95-4D2F-B918-E40C808EBA5C}" name="Plazo_Meses" dataDxfId="6"/>
    <tableColumn id="7" xr3:uid="{C0C9052C-E73D-4D77-AEA7-1372E1AE6F35}" name="Cuota_Mensual" dataDxfId="5"/>
    <tableColumn id="8" xr3:uid="{1AFBB422-1E25-440C-ACE1-8B087F23F87D}" name="Valor_Futuro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9" Type="http://schemas.microsoft.com/office/2007/relationships/slicer" Target="../slicers/slicer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CFA7-6E07-4434-8387-539E1DF4D3B1}">
  <dimension ref="A3:J59"/>
  <sheetViews>
    <sheetView topLeftCell="B15" workbookViewId="0">
      <selection activeCell="A30" sqref="A30:F31"/>
    </sheetView>
  </sheetViews>
  <sheetFormatPr baseColWidth="10" defaultRowHeight="14.4" x14ac:dyDescent="0.3"/>
  <cols>
    <col min="1" max="1" width="16.5546875" bestFit="1" customWidth="1"/>
    <col min="2" max="2" width="14.21875" bestFit="1" customWidth="1"/>
    <col min="3" max="3" width="14.5546875" bestFit="1" customWidth="1"/>
    <col min="4" max="4" width="16.5546875" bestFit="1" customWidth="1"/>
    <col min="5" max="5" width="14.21875" bestFit="1" customWidth="1"/>
    <col min="6" max="6" width="14.5546875" bestFit="1" customWidth="1"/>
  </cols>
  <sheetData>
    <row r="3" spans="1:6" x14ac:dyDescent="0.3">
      <c r="A3" s="43" t="s">
        <v>66</v>
      </c>
      <c r="B3" t="s">
        <v>110</v>
      </c>
      <c r="C3" t="s">
        <v>70</v>
      </c>
      <c r="D3" s="43" t="s">
        <v>66</v>
      </c>
      <c r="E3" t="s">
        <v>110</v>
      </c>
      <c r="F3" t="s">
        <v>70</v>
      </c>
    </row>
    <row r="4" spans="1:6" x14ac:dyDescent="0.3">
      <c r="A4" s="44" t="s">
        <v>48</v>
      </c>
      <c r="B4" s="41">
        <v>1022000</v>
      </c>
      <c r="C4" s="41">
        <v>411000</v>
      </c>
      <c r="D4" s="44" t="s">
        <v>46</v>
      </c>
      <c r="E4" s="41">
        <v>666000</v>
      </c>
      <c r="F4" s="41">
        <v>269000</v>
      </c>
    </row>
    <row r="5" spans="1:6" x14ac:dyDescent="0.3">
      <c r="A5" s="44" t="s">
        <v>42</v>
      </c>
      <c r="B5" s="41">
        <v>865000</v>
      </c>
      <c r="C5" s="41">
        <v>353000</v>
      </c>
      <c r="D5" s="44" t="s">
        <v>43</v>
      </c>
      <c r="E5" s="41">
        <v>1081000</v>
      </c>
      <c r="F5" s="41">
        <v>454000</v>
      </c>
    </row>
    <row r="6" spans="1:6" x14ac:dyDescent="0.3">
      <c r="A6" s="44" t="s">
        <v>45</v>
      </c>
      <c r="B6" s="41">
        <v>930000</v>
      </c>
      <c r="C6" s="41">
        <v>365000</v>
      </c>
      <c r="D6" s="44" t="s">
        <v>50</v>
      </c>
      <c r="E6" s="41">
        <v>1070000</v>
      </c>
      <c r="F6" s="41">
        <v>406000</v>
      </c>
    </row>
    <row r="7" spans="1:6" x14ac:dyDescent="0.3">
      <c r="A7" s="44" t="s">
        <v>67</v>
      </c>
      <c r="B7" s="41">
        <v>2817000</v>
      </c>
      <c r="C7" s="41">
        <v>1129000</v>
      </c>
      <c r="D7" s="44" t="s">
        <v>67</v>
      </c>
      <c r="E7" s="41">
        <v>2817000</v>
      </c>
      <c r="F7" s="41">
        <v>1129000</v>
      </c>
    </row>
    <row r="24" spans="6:10" x14ac:dyDescent="0.3">
      <c r="F24" s="43" t="s">
        <v>66</v>
      </c>
      <c r="G24" t="s">
        <v>110</v>
      </c>
      <c r="H24" t="s">
        <v>70</v>
      </c>
      <c r="I24" t="s">
        <v>111</v>
      </c>
      <c r="J24" t="s">
        <v>112</v>
      </c>
    </row>
    <row r="25" spans="6:10" x14ac:dyDescent="0.3">
      <c r="F25" s="46">
        <v>46027</v>
      </c>
      <c r="G25" s="41">
        <v>125000</v>
      </c>
      <c r="H25" s="41">
        <v>53000</v>
      </c>
      <c r="I25">
        <f t="shared" ref="I25:I42" si="0">IF(ISNUMBER(F25),G25,NA())</f>
        <v>125000</v>
      </c>
      <c r="J25">
        <f t="shared" ref="J25:J42" si="1">IF(ISNUMBER(F25),H25,NA())</f>
        <v>53000</v>
      </c>
    </row>
    <row r="26" spans="6:10" x14ac:dyDescent="0.3">
      <c r="F26" s="46">
        <v>46034</v>
      </c>
      <c r="G26" s="41">
        <v>98000</v>
      </c>
      <c r="H26" s="41">
        <v>37000</v>
      </c>
      <c r="I26">
        <f t="shared" si="0"/>
        <v>98000</v>
      </c>
      <c r="J26">
        <f t="shared" si="1"/>
        <v>37000</v>
      </c>
    </row>
    <row r="27" spans="6:10" x14ac:dyDescent="0.3">
      <c r="F27" s="46">
        <v>46042</v>
      </c>
      <c r="G27" s="41">
        <v>154000</v>
      </c>
      <c r="H27" s="41">
        <v>65000</v>
      </c>
      <c r="I27">
        <f t="shared" si="0"/>
        <v>154000</v>
      </c>
      <c r="J27">
        <f t="shared" si="1"/>
        <v>65000</v>
      </c>
    </row>
    <row r="28" spans="6:10" x14ac:dyDescent="0.3">
      <c r="F28" s="46">
        <v>46057</v>
      </c>
      <c r="G28" s="41">
        <v>210000</v>
      </c>
      <c r="H28" s="41">
        <v>78000</v>
      </c>
      <c r="I28">
        <f t="shared" si="0"/>
        <v>210000</v>
      </c>
      <c r="J28">
        <f t="shared" si="1"/>
        <v>78000</v>
      </c>
    </row>
    <row r="29" spans="6:10" x14ac:dyDescent="0.3">
      <c r="F29" s="46">
        <v>46068</v>
      </c>
      <c r="G29" s="41">
        <v>118000</v>
      </c>
      <c r="H29" s="41">
        <v>49000</v>
      </c>
      <c r="I29">
        <f t="shared" si="0"/>
        <v>118000</v>
      </c>
      <c r="J29">
        <f t="shared" si="1"/>
        <v>49000</v>
      </c>
    </row>
    <row r="30" spans="6:10" x14ac:dyDescent="0.3">
      <c r="F30" s="46">
        <v>46077</v>
      </c>
      <c r="G30" s="41">
        <v>176000</v>
      </c>
      <c r="H30" s="41">
        <v>72000</v>
      </c>
      <c r="I30">
        <f t="shared" si="0"/>
        <v>176000</v>
      </c>
      <c r="J30">
        <f t="shared" si="1"/>
        <v>72000</v>
      </c>
    </row>
    <row r="31" spans="6:10" x14ac:dyDescent="0.3">
      <c r="F31" s="46">
        <v>46089</v>
      </c>
      <c r="G31" s="41">
        <v>132000</v>
      </c>
      <c r="H31" s="41">
        <v>56000</v>
      </c>
      <c r="I31">
        <f t="shared" si="0"/>
        <v>132000</v>
      </c>
      <c r="J31">
        <f t="shared" si="1"/>
        <v>56000</v>
      </c>
    </row>
    <row r="32" spans="6:10" x14ac:dyDescent="0.3">
      <c r="F32" s="46">
        <v>46098</v>
      </c>
      <c r="G32" s="41">
        <v>225000</v>
      </c>
      <c r="H32" s="41">
        <v>84000</v>
      </c>
      <c r="I32">
        <f t="shared" si="0"/>
        <v>225000</v>
      </c>
      <c r="J32">
        <f t="shared" si="1"/>
        <v>84000</v>
      </c>
    </row>
    <row r="33" spans="1:10" x14ac:dyDescent="0.3">
      <c r="F33" s="46">
        <v>46110</v>
      </c>
      <c r="G33" s="41">
        <v>91000</v>
      </c>
      <c r="H33" s="41">
        <v>38000</v>
      </c>
      <c r="I33">
        <f t="shared" si="0"/>
        <v>91000</v>
      </c>
      <c r="J33">
        <f t="shared" si="1"/>
        <v>38000</v>
      </c>
    </row>
    <row r="34" spans="1:10" x14ac:dyDescent="0.3">
      <c r="F34" s="46">
        <v>46121</v>
      </c>
      <c r="G34" s="41">
        <v>145000</v>
      </c>
      <c r="H34" s="41">
        <v>61000</v>
      </c>
      <c r="I34">
        <f t="shared" si="0"/>
        <v>145000</v>
      </c>
      <c r="J34">
        <f t="shared" si="1"/>
        <v>61000</v>
      </c>
    </row>
    <row r="35" spans="1:10" x14ac:dyDescent="0.3">
      <c r="F35" s="46">
        <v>46130</v>
      </c>
      <c r="G35" s="41">
        <v>103000</v>
      </c>
      <c r="H35" s="41">
        <v>44000</v>
      </c>
      <c r="I35">
        <f t="shared" si="0"/>
        <v>103000</v>
      </c>
      <c r="J35">
        <f t="shared" si="1"/>
        <v>44000</v>
      </c>
    </row>
    <row r="36" spans="1:10" x14ac:dyDescent="0.3">
      <c r="F36" s="46">
        <v>46139</v>
      </c>
      <c r="G36" s="41">
        <v>187000</v>
      </c>
      <c r="H36" s="41">
        <v>75000</v>
      </c>
      <c r="I36">
        <f t="shared" si="0"/>
        <v>187000</v>
      </c>
      <c r="J36">
        <f t="shared" si="1"/>
        <v>75000</v>
      </c>
    </row>
    <row r="37" spans="1:10" x14ac:dyDescent="0.3">
      <c r="F37" s="46">
        <v>46148</v>
      </c>
      <c r="G37" s="41">
        <v>139000</v>
      </c>
      <c r="H37" s="41">
        <v>58000</v>
      </c>
      <c r="I37">
        <f t="shared" si="0"/>
        <v>139000</v>
      </c>
      <c r="J37">
        <f t="shared" si="1"/>
        <v>58000</v>
      </c>
    </row>
    <row r="38" spans="1:10" x14ac:dyDescent="0.3">
      <c r="F38" s="46">
        <v>46158</v>
      </c>
      <c r="G38" s="41">
        <v>238000</v>
      </c>
      <c r="H38" s="41">
        <v>89000</v>
      </c>
      <c r="I38">
        <f t="shared" si="0"/>
        <v>238000</v>
      </c>
      <c r="J38">
        <f t="shared" si="1"/>
        <v>89000</v>
      </c>
    </row>
    <row r="39" spans="1:10" x14ac:dyDescent="0.3">
      <c r="F39" s="46">
        <v>46167</v>
      </c>
      <c r="G39" s="41">
        <v>162000</v>
      </c>
      <c r="H39" s="41">
        <v>67000</v>
      </c>
      <c r="I39">
        <f t="shared" si="0"/>
        <v>162000</v>
      </c>
      <c r="J39">
        <f t="shared" si="1"/>
        <v>67000</v>
      </c>
    </row>
    <row r="40" spans="1:10" x14ac:dyDescent="0.3">
      <c r="F40" s="46">
        <v>46180</v>
      </c>
      <c r="G40" s="41">
        <v>114000</v>
      </c>
      <c r="H40" s="41">
        <v>47000</v>
      </c>
      <c r="I40">
        <f t="shared" si="0"/>
        <v>114000</v>
      </c>
      <c r="J40">
        <f t="shared" si="1"/>
        <v>47000</v>
      </c>
    </row>
    <row r="41" spans="1:10" x14ac:dyDescent="0.3">
      <c r="A41" s="45" t="s">
        <v>39</v>
      </c>
      <c r="B41" s="45" t="s">
        <v>41</v>
      </c>
      <c r="F41" s="46">
        <v>46192</v>
      </c>
      <c r="G41" s="41">
        <v>148000</v>
      </c>
      <c r="H41" s="41">
        <v>62000</v>
      </c>
      <c r="I41">
        <f t="shared" si="0"/>
        <v>148000</v>
      </c>
      <c r="J41">
        <f t="shared" si="1"/>
        <v>62000</v>
      </c>
    </row>
    <row r="42" spans="1:10" x14ac:dyDescent="0.3">
      <c r="A42" s="41">
        <v>125000</v>
      </c>
      <c r="B42" s="41">
        <v>53000</v>
      </c>
      <c r="F42" s="46">
        <v>46201</v>
      </c>
      <c r="G42" s="41">
        <v>252000</v>
      </c>
      <c r="H42" s="41">
        <v>94000</v>
      </c>
      <c r="I42">
        <f t="shared" si="0"/>
        <v>252000</v>
      </c>
      <c r="J42">
        <f t="shared" si="1"/>
        <v>94000</v>
      </c>
    </row>
    <row r="43" spans="1:10" x14ac:dyDescent="0.3">
      <c r="A43" s="41">
        <v>98000</v>
      </c>
      <c r="B43" s="41">
        <v>37000</v>
      </c>
      <c r="F43" s="46" t="s">
        <v>67</v>
      </c>
      <c r="G43">
        <v>2817000</v>
      </c>
      <c r="H43">
        <v>1129000</v>
      </c>
    </row>
    <row r="44" spans="1:10" x14ac:dyDescent="0.3">
      <c r="A44" s="41">
        <v>154000</v>
      </c>
      <c r="B44" s="41">
        <v>65000</v>
      </c>
    </row>
    <row r="45" spans="1:10" x14ac:dyDescent="0.3">
      <c r="A45" s="41">
        <v>210000</v>
      </c>
      <c r="B45" s="41">
        <v>78000</v>
      </c>
    </row>
    <row r="46" spans="1:10" x14ac:dyDescent="0.3">
      <c r="A46" s="41">
        <v>118000</v>
      </c>
      <c r="B46" s="41">
        <v>49000</v>
      </c>
    </row>
    <row r="47" spans="1:10" x14ac:dyDescent="0.3">
      <c r="A47" s="41">
        <v>176000</v>
      </c>
      <c r="B47" s="41">
        <v>72000</v>
      </c>
    </row>
    <row r="48" spans="1:10" x14ac:dyDescent="0.3">
      <c r="A48" s="41">
        <v>132000</v>
      </c>
      <c r="B48" s="41">
        <v>56000</v>
      </c>
    </row>
    <row r="49" spans="1:2" x14ac:dyDescent="0.3">
      <c r="A49" s="41">
        <v>225000</v>
      </c>
      <c r="B49" s="41">
        <v>84000</v>
      </c>
    </row>
    <row r="50" spans="1:2" x14ac:dyDescent="0.3">
      <c r="A50" s="41">
        <v>91000</v>
      </c>
      <c r="B50" s="41">
        <v>38000</v>
      </c>
    </row>
    <row r="51" spans="1:2" x14ac:dyDescent="0.3">
      <c r="A51" s="41">
        <v>145000</v>
      </c>
      <c r="B51" s="41">
        <v>61000</v>
      </c>
    </row>
    <row r="52" spans="1:2" x14ac:dyDescent="0.3">
      <c r="A52" s="41">
        <v>103000</v>
      </c>
      <c r="B52" s="41">
        <v>44000</v>
      </c>
    </row>
    <row r="53" spans="1:2" x14ac:dyDescent="0.3">
      <c r="A53" s="41">
        <v>187000</v>
      </c>
      <c r="B53" s="41">
        <v>75000</v>
      </c>
    </row>
    <row r="54" spans="1:2" x14ac:dyDescent="0.3">
      <c r="A54" s="41">
        <v>139000</v>
      </c>
      <c r="B54" s="41">
        <v>58000</v>
      </c>
    </row>
    <row r="55" spans="1:2" x14ac:dyDescent="0.3">
      <c r="A55" s="41">
        <v>238000</v>
      </c>
      <c r="B55" s="41">
        <v>89000</v>
      </c>
    </row>
    <row r="56" spans="1:2" x14ac:dyDescent="0.3">
      <c r="A56" s="41">
        <v>162000</v>
      </c>
      <c r="B56" s="41">
        <v>67000</v>
      </c>
    </row>
    <row r="57" spans="1:2" x14ac:dyDescent="0.3">
      <c r="A57" s="41">
        <v>114000</v>
      </c>
      <c r="B57" s="41">
        <v>47000</v>
      </c>
    </row>
    <row r="58" spans="1:2" x14ac:dyDescent="0.3">
      <c r="A58" s="41">
        <v>148000</v>
      </c>
      <c r="B58" s="41">
        <v>62000</v>
      </c>
    </row>
    <row r="59" spans="1:2" x14ac:dyDescent="0.3">
      <c r="A59" s="41">
        <v>252000</v>
      </c>
      <c r="B59" s="41">
        <v>94000</v>
      </c>
    </row>
  </sheetData>
  <pageMargins left="0.7" right="0.7" top="0.75" bottom="0.75" header="0.3" footer="0.3"/>
  <drawing r:id="rId4"/>
  <tableParts count="1">
    <tablePart r:id="rId5"/>
  </tableParts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C15B-E85C-43B8-B643-7A960B060789}">
  <sheetPr codeName="Hoja5"/>
  <dimension ref="A1:I19"/>
  <sheetViews>
    <sheetView workbookViewId="0">
      <selection activeCell="A30" sqref="A30:F31"/>
    </sheetView>
  </sheetViews>
  <sheetFormatPr baseColWidth="10" defaultRowHeight="14.4" x14ac:dyDescent="0.3"/>
  <cols>
    <col min="1" max="1" width="9.33203125" bestFit="1" customWidth="1"/>
    <col min="2" max="2" width="8.77734375" bestFit="1" customWidth="1"/>
    <col min="3" max="3" width="12.88671875" bestFit="1" customWidth="1"/>
    <col min="4" max="4" width="18.21875" bestFit="1" customWidth="1"/>
    <col min="5" max="5" width="8.88671875" bestFit="1" customWidth="1"/>
    <col min="6" max="6" width="8" bestFit="1" customWidth="1"/>
    <col min="7" max="7" width="13.33203125" bestFit="1" customWidth="1"/>
    <col min="8" max="8" width="11.77734375" bestFit="1" customWidth="1"/>
    <col min="9" max="9" width="9.21875" customWidth="1"/>
  </cols>
  <sheetData>
    <row r="1" spans="1:9" x14ac:dyDescent="0.3">
      <c r="A1" t="s">
        <v>14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71</v>
      </c>
      <c r="H1" t="s">
        <v>0</v>
      </c>
      <c r="I1" t="s">
        <v>41</v>
      </c>
    </row>
    <row r="2" spans="1:9" x14ac:dyDescent="0.3">
      <c r="A2" s="15">
        <v>46027</v>
      </c>
      <c r="B2" t="s">
        <v>42</v>
      </c>
      <c r="C2" t="s">
        <v>43</v>
      </c>
      <c r="D2" t="s">
        <v>44</v>
      </c>
      <c r="E2">
        <v>125000</v>
      </c>
      <c r="F2">
        <v>72000</v>
      </c>
      <c r="G2">
        <v>1</v>
      </c>
      <c r="H2">
        <v>1</v>
      </c>
      <c r="I2">
        <v>53000</v>
      </c>
    </row>
    <row r="3" spans="1:9" x14ac:dyDescent="0.3">
      <c r="A3" s="15">
        <v>46034</v>
      </c>
      <c r="B3" t="s">
        <v>45</v>
      </c>
      <c r="C3" t="s">
        <v>46</v>
      </c>
      <c r="D3" t="s">
        <v>47</v>
      </c>
      <c r="E3">
        <v>98000</v>
      </c>
      <c r="F3">
        <v>61000</v>
      </c>
      <c r="G3">
        <v>2</v>
      </c>
      <c r="H3">
        <v>2</v>
      </c>
      <c r="I3">
        <v>37000</v>
      </c>
    </row>
    <row r="4" spans="1:9" x14ac:dyDescent="0.3">
      <c r="A4" s="15">
        <v>46042</v>
      </c>
      <c r="B4" t="s">
        <v>48</v>
      </c>
      <c r="C4" t="s">
        <v>43</v>
      </c>
      <c r="D4" t="s">
        <v>49</v>
      </c>
      <c r="E4">
        <v>154000</v>
      </c>
      <c r="F4">
        <v>89000</v>
      </c>
      <c r="G4">
        <v>3</v>
      </c>
      <c r="H4">
        <v>3</v>
      </c>
      <c r="I4">
        <v>65000</v>
      </c>
    </row>
    <row r="5" spans="1:9" x14ac:dyDescent="0.3">
      <c r="A5" s="15">
        <v>46057</v>
      </c>
      <c r="B5" t="s">
        <v>42</v>
      </c>
      <c r="C5" t="s">
        <v>50</v>
      </c>
      <c r="D5" t="s">
        <v>51</v>
      </c>
      <c r="E5">
        <v>210000</v>
      </c>
      <c r="F5">
        <v>132000</v>
      </c>
      <c r="G5">
        <v>4</v>
      </c>
      <c r="H5">
        <v>4</v>
      </c>
      <c r="I5">
        <v>78000</v>
      </c>
    </row>
    <row r="6" spans="1:9" x14ac:dyDescent="0.3">
      <c r="A6" s="15">
        <v>46068</v>
      </c>
      <c r="B6" t="s">
        <v>45</v>
      </c>
      <c r="C6" t="s">
        <v>43</v>
      </c>
      <c r="D6" t="s">
        <v>52</v>
      </c>
      <c r="E6">
        <v>118000</v>
      </c>
      <c r="F6">
        <v>69000</v>
      </c>
      <c r="G6">
        <v>5</v>
      </c>
      <c r="H6">
        <v>5</v>
      </c>
      <c r="I6">
        <v>49000</v>
      </c>
    </row>
    <row r="7" spans="1:9" x14ac:dyDescent="0.3">
      <c r="A7" s="15">
        <v>46077</v>
      </c>
      <c r="B7" t="s">
        <v>48</v>
      </c>
      <c r="C7" t="s">
        <v>46</v>
      </c>
      <c r="D7" t="s">
        <v>53</v>
      </c>
      <c r="E7">
        <v>176000</v>
      </c>
      <c r="F7">
        <v>104000</v>
      </c>
      <c r="G7">
        <v>6</v>
      </c>
      <c r="H7">
        <v>6</v>
      </c>
      <c r="I7">
        <v>72000</v>
      </c>
    </row>
    <row r="8" spans="1:9" x14ac:dyDescent="0.3">
      <c r="A8" s="15">
        <v>46089</v>
      </c>
      <c r="B8" t="s">
        <v>42</v>
      </c>
      <c r="C8" t="s">
        <v>43</v>
      </c>
      <c r="D8" t="s">
        <v>54</v>
      </c>
      <c r="E8">
        <v>132000</v>
      </c>
      <c r="F8">
        <v>76000</v>
      </c>
      <c r="G8">
        <v>7</v>
      </c>
      <c r="H8">
        <v>1</v>
      </c>
      <c r="I8">
        <v>56000</v>
      </c>
    </row>
    <row r="9" spans="1:9" x14ac:dyDescent="0.3">
      <c r="A9" s="15">
        <v>46098</v>
      </c>
      <c r="B9" t="s">
        <v>45</v>
      </c>
      <c r="C9" t="s">
        <v>50</v>
      </c>
      <c r="D9" t="s">
        <v>55</v>
      </c>
      <c r="E9">
        <v>225000</v>
      </c>
      <c r="F9">
        <v>141000</v>
      </c>
      <c r="G9">
        <v>8</v>
      </c>
      <c r="H9">
        <v>2</v>
      </c>
      <c r="I9">
        <v>84000</v>
      </c>
    </row>
    <row r="10" spans="1:9" x14ac:dyDescent="0.3">
      <c r="A10" s="15">
        <v>46110</v>
      </c>
      <c r="B10" t="s">
        <v>48</v>
      </c>
      <c r="C10" t="s">
        <v>46</v>
      </c>
      <c r="D10" t="s">
        <v>56</v>
      </c>
      <c r="E10">
        <v>91000</v>
      </c>
      <c r="F10">
        <v>53000</v>
      </c>
      <c r="G10">
        <v>9</v>
      </c>
      <c r="H10">
        <v>3</v>
      </c>
      <c r="I10">
        <v>38000</v>
      </c>
    </row>
    <row r="11" spans="1:9" x14ac:dyDescent="0.3">
      <c r="A11" s="15">
        <v>46121</v>
      </c>
      <c r="B11" t="s">
        <v>42</v>
      </c>
      <c r="C11" t="s">
        <v>50</v>
      </c>
      <c r="D11" t="s">
        <v>57</v>
      </c>
      <c r="E11">
        <v>145000</v>
      </c>
      <c r="F11">
        <v>84000</v>
      </c>
      <c r="G11">
        <v>10</v>
      </c>
      <c r="H11">
        <v>4</v>
      </c>
      <c r="I11">
        <v>61000</v>
      </c>
    </row>
    <row r="12" spans="1:9" x14ac:dyDescent="0.3">
      <c r="A12" s="15">
        <v>46130</v>
      </c>
      <c r="B12" t="s">
        <v>45</v>
      </c>
      <c r="C12" t="s">
        <v>43</v>
      </c>
      <c r="D12" t="s">
        <v>58</v>
      </c>
      <c r="E12">
        <v>103000</v>
      </c>
      <c r="F12">
        <v>59000</v>
      </c>
      <c r="G12">
        <v>11</v>
      </c>
      <c r="H12">
        <v>5</v>
      </c>
      <c r="I12">
        <v>44000</v>
      </c>
    </row>
    <row r="13" spans="1:9" x14ac:dyDescent="0.3">
      <c r="A13" s="15">
        <v>46139</v>
      </c>
      <c r="B13" t="s">
        <v>48</v>
      </c>
      <c r="C13" t="s">
        <v>46</v>
      </c>
      <c r="D13" t="s">
        <v>59</v>
      </c>
      <c r="E13">
        <v>187000</v>
      </c>
      <c r="F13">
        <v>112000</v>
      </c>
      <c r="G13">
        <v>12</v>
      </c>
      <c r="H13">
        <v>6</v>
      </c>
      <c r="I13">
        <v>75000</v>
      </c>
    </row>
    <row r="14" spans="1:9" x14ac:dyDescent="0.3">
      <c r="A14" s="15">
        <v>46148</v>
      </c>
      <c r="B14" t="s">
        <v>42</v>
      </c>
      <c r="C14" t="s">
        <v>43</v>
      </c>
      <c r="D14" t="s">
        <v>60</v>
      </c>
      <c r="E14">
        <v>139000</v>
      </c>
      <c r="F14">
        <v>81000</v>
      </c>
      <c r="G14">
        <v>13</v>
      </c>
      <c r="H14">
        <v>1</v>
      </c>
      <c r="I14">
        <v>58000</v>
      </c>
    </row>
    <row r="15" spans="1:9" x14ac:dyDescent="0.3">
      <c r="A15" s="15">
        <v>46158</v>
      </c>
      <c r="B15" t="s">
        <v>45</v>
      </c>
      <c r="C15" t="s">
        <v>50</v>
      </c>
      <c r="D15" t="s">
        <v>61</v>
      </c>
      <c r="E15">
        <v>238000</v>
      </c>
      <c r="F15">
        <v>149000</v>
      </c>
      <c r="G15">
        <v>14</v>
      </c>
      <c r="H15">
        <v>2</v>
      </c>
      <c r="I15">
        <v>89000</v>
      </c>
    </row>
    <row r="16" spans="1:9" x14ac:dyDescent="0.3">
      <c r="A16" s="15">
        <v>46167</v>
      </c>
      <c r="B16" t="s">
        <v>48</v>
      </c>
      <c r="C16" t="s">
        <v>43</v>
      </c>
      <c r="D16" t="s">
        <v>62</v>
      </c>
      <c r="E16">
        <v>162000</v>
      </c>
      <c r="F16">
        <v>95000</v>
      </c>
      <c r="G16">
        <v>15</v>
      </c>
      <c r="H16">
        <v>3</v>
      </c>
      <c r="I16">
        <v>67000</v>
      </c>
    </row>
    <row r="17" spans="1:9" x14ac:dyDescent="0.3">
      <c r="A17" s="15">
        <v>46180</v>
      </c>
      <c r="B17" t="s">
        <v>42</v>
      </c>
      <c r="C17" t="s">
        <v>46</v>
      </c>
      <c r="D17" t="s">
        <v>63</v>
      </c>
      <c r="E17">
        <v>114000</v>
      </c>
      <c r="F17">
        <v>67000</v>
      </c>
      <c r="G17">
        <v>16</v>
      </c>
      <c r="H17">
        <v>4</v>
      </c>
      <c r="I17">
        <v>47000</v>
      </c>
    </row>
    <row r="18" spans="1:9" x14ac:dyDescent="0.3">
      <c r="A18" s="15">
        <v>46192</v>
      </c>
      <c r="B18" t="s">
        <v>45</v>
      </c>
      <c r="C18" t="s">
        <v>43</v>
      </c>
      <c r="D18" t="s">
        <v>64</v>
      </c>
      <c r="E18">
        <v>148000</v>
      </c>
      <c r="F18">
        <v>86000</v>
      </c>
      <c r="G18">
        <v>17</v>
      </c>
      <c r="H18">
        <v>5</v>
      </c>
      <c r="I18">
        <v>62000</v>
      </c>
    </row>
    <row r="19" spans="1:9" x14ac:dyDescent="0.3">
      <c r="A19" s="15">
        <v>46201</v>
      </c>
      <c r="B19" t="s">
        <v>48</v>
      </c>
      <c r="C19" t="s">
        <v>50</v>
      </c>
      <c r="D19" t="s">
        <v>65</v>
      </c>
      <c r="E19">
        <v>252000</v>
      </c>
      <c r="F19">
        <v>158000</v>
      </c>
      <c r="G19">
        <v>18</v>
      </c>
      <c r="H19">
        <v>6</v>
      </c>
      <c r="I19">
        <v>94000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E14F-D11E-401F-B553-161E57C14D40}">
  <dimension ref="A1:N39"/>
  <sheetViews>
    <sheetView showGridLines="0" tabSelected="1" zoomScale="55" zoomScaleNormal="55" workbookViewId="0">
      <selection activeCell="A30" sqref="A30:F31"/>
    </sheetView>
  </sheetViews>
  <sheetFormatPr baseColWidth="10" defaultRowHeight="14.4" x14ac:dyDescent="0.3"/>
  <cols>
    <col min="1" max="1" width="11.5546875" customWidth="1"/>
    <col min="14" max="14" width="13" customWidth="1"/>
  </cols>
  <sheetData>
    <row r="1" spans="1:14" ht="18" customHeight="1" x14ac:dyDescent="0.3">
      <c r="A1" s="51" t="s">
        <v>109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ht="18" customHeigh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4" ht="18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</row>
    <row r="4" spans="1:14" ht="18" customHeight="1" x14ac:dyDescent="0.3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</row>
    <row r="5" spans="1:14" ht="15" thickBot="1" x14ac:dyDescent="0.35"/>
    <row r="6" spans="1:14" ht="15" thickBot="1" x14ac:dyDescent="0.35">
      <c r="M6" s="47" t="s">
        <v>117</v>
      </c>
      <c r="N6" s="48">
        <v>500000</v>
      </c>
    </row>
    <row r="7" spans="1:14" ht="15" thickBot="1" x14ac:dyDescent="0.35">
      <c r="M7" s="52" t="str">
        <f>IF(N14&gt;N6,"Meta cumplida","Meta no alcanzada")</f>
        <v>Meta cumplida</v>
      </c>
      <c r="N7" s="53"/>
    </row>
    <row r="11" spans="1:14" x14ac:dyDescent="0.3">
      <c r="M11" t="s">
        <v>115</v>
      </c>
      <c r="N11" s="42">
        <f>N14/N13</f>
        <v>0.40078097266595669</v>
      </c>
    </row>
    <row r="12" spans="1:14" x14ac:dyDescent="0.3">
      <c r="M12" t="s">
        <v>116</v>
      </c>
      <c r="N12" s="41">
        <f>AVERAGE(Datos_Procesados!E2:E19)</f>
        <v>156500</v>
      </c>
    </row>
    <row r="13" spans="1:14" x14ac:dyDescent="0.3">
      <c r="M13" t="s">
        <v>114</v>
      </c>
      <c r="N13" s="41">
        <f>Estadistica_Descriptiva!B14</f>
        <v>2817000</v>
      </c>
    </row>
    <row r="14" spans="1:14" x14ac:dyDescent="0.3">
      <c r="M14" t="s">
        <v>41</v>
      </c>
      <c r="N14" s="41">
        <f>Reporte_Ejecutivo!E17</f>
        <v>1129000</v>
      </c>
    </row>
    <row r="27" spans="1:6" x14ac:dyDescent="0.3">
      <c r="A27" t="s">
        <v>113</v>
      </c>
    </row>
    <row r="28" spans="1:6" ht="14.4" customHeight="1" x14ac:dyDescent="0.3">
      <c r="A28" s="49" t="s">
        <v>122</v>
      </c>
      <c r="B28" s="49"/>
      <c r="C28" s="49"/>
      <c r="D28" s="49"/>
      <c r="E28" s="49"/>
      <c r="F28" s="49"/>
    </row>
    <row r="29" spans="1:6" x14ac:dyDescent="0.3">
      <c r="A29" s="49"/>
      <c r="B29" s="49"/>
      <c r="C29" s="49"/>
      <c r="D29" s="49"/>
      <c r="E29" s="49"/>
      <c r="F29" s="49"/>
    </row>
    <row r="30" spans="1:6" x14ac:dyDescent="0.3">
      <c r="A30" s="49" t="s">
        <v>118</v>
      </c>
      <c r="B30" s="49"/>
      <c r="C30" s="49"/>
      <c r="D30" s="49"/>
      <c r="E30" s="49"/>
      <c r="F30" s="49"/>
    </row>
    <row r="31" spans="1:6" x14ac:dyDescent="0.3">
      <c r="A31" s="49"/>
      <c r="B31" s="49"/>
      <c r="C31" s="49"/>
      <c r="D31" s="49"/>
      <c r="E31" s="49"/>
      <c r="F31" s="49"/>
    </row>
    <row r="32" spans="1:6" x14ac:dyDescent="0.3">
      <c r="A32" s="49" t="s">
        <v>119</v>
      </c>
      <c r="B32" s="49"/>
      <c r="C32" s="49"/>
      <c r="D32" s="49"/>
      <c r="E32" s="49"/>
      <c r="F32" s="49"/>
    </row>
    <row r="33" spans="1:6" x14ac:dyDescent="0.3">
      <c r="A33" s="49"/>
      <c r="B33" s="49"/>
      <c r="C33" s="49"/>
      <c r="D33" s="49"/>
      <c r="E33" s="49"/>
      <c r="F33" s="49"/>
    </row>
    <row r="35" spans="1:6" x14ac:dyDescent="0.3">
      <c r="A35" t="s">
        <v>120</v>
      </c>
    </row>
    <row r="36" spans="1:6" ht="14.4" customHeight="1" x14ac:dyDescent="0.3">
      <c r="A36" s="50" t="s">
        <v>121</v>
      </c>
      <c r="B36" s="50"/>
      <c r="C36" s="50"/>
      <c r="D36" s="50"/>
      <c r="E36" s="50"/>
      <c r="F36" s="50"/>
    </row>
    <row r="37" spans="1:6" x14ac:dyDescent="0.3">
      <c r="A37" s="50"/>
      <c r="B37" s="50"/>
      <c r="C37" s="50"/>
      <c r="D37" s="50"/>
      <c r="E37" s="50"/>
      <c r="F37" s="50"/>
    </row>
    <row r="38" spans="1:6" x14ac:dyDescent="0.3">
      <c r="A38" s="50"/>
      <c r="B38" s="50"/>
      <c r="C38" s="50"/>
      <c r="D38" s="50"/>
      <c r="E38" s="50"/>
      <c r="F38" s="50"/>
    </row>
    <row r="39" spans="1:6" x14ac:dyDescent="0.3">
      <c r="A39" s="50"/>
      <c r="B39" s="50"/>
      <c r="C39" s="50"/>
      <c r="D39" s="50"/>
      <c r="E39" s="50"/>
      <c r="F39" s="50"/>
    </row>
  </sheetData>
  <mergeCells count="6">
    <mergeCell ref="A32:F33"/>
    <mergeCell ref="A36:F39"/>
    <mergeCell ref="A1:N2"/>
    <mergeCell ref="A30:F31"/>
    <mergeCell ref="A28:F29"/>
    <mergeCell ref="M7:N7"/>
  </mergeCells>
  <conditionalFormatting sqref="M7">
    <cfRule type="cellIs" dxfId="3" priority="1" operator="lessThan">
      <formula>$N$6</formula>
    </cfRule>
    <cfRule type="cellIs" dxfId="2" priority="2" operator="greaterThan">
      <formula>$N$6</formula>
    </cfRule>
  </conditionalFormatting>
  <conditionalFormatting sqref="N14">
    <cfRule type="cellIs" dxfId="1" priority="7" operator="lessThan">
      <formula>$N$6</formula>
    </cfRule>
    <cfRule type="cellIs" dxfId="0" priority="8" operator="greaterThan">
      <formula>$N$6</formula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9458-9D63-4BA4-A445-E29D8775F2A4}">
  <dimension ref="A1:B15"/>
  <sheetViews>
    <sheetView workbookViewId="0">
      <selection activeCell="E22" sqref="E22"/>
    </sheetView>
  </sheetViews>
  <sheetFormatPr baseColWidth="10" defaultRowHeight="14.4" x14ac:dyDescent="0.3"/>
  <sheetData>
    <row r="1" spans="1:2" x14ac:dyDescent="0.3">
      <c r="A1" s="23" t="s">
        <v>39</v>
      </c>
      <c r="B1" s="23"/>
    </row>
    <row r="3" spans="1:2" x14ac:dyDescent="0.3">
      <c r="A3" t="s">
        <v>72</v>
      </c>
      <c r="B3">
        <v>156500</v>
      </c>
    </row>
    <row r="4" spans="1:2" x14ac:dyDescent="0.3">
      <c r="A4" t="s">
        <v>73</v>
      </c>
      <c r="B4">
        <v>11522.994912986202</v>
      </c>
    </row>
    <row r="5" spans="1:2" x14ac:dyDescent="0.3">
      <c r="A5" t="s">
        <v>74</v>
      </c>
      <c r="B5">
        <v>146500</v>
      </c>
    </row>
    <row r="6" spans="1:2" x14ac:dyDescent="0.3">
      <c r="A6" t="s">
        <v>75</v>
      </c>
      <c r="B6" t="e">
        <v>#N/A</v>
      </c>
    </row>
    <row r="7" spans="1:2" x14ac:dyDescent="0.3">
      <c r="A7" t="s">
        <v>76</v>
      </c>
      <c r="B7">
        <v>48887.9270553038</v>
      </c>
    </row>
    <row r="8" spans="1:2" x14ac:dyDescent="0.3">
      <c r="A8" t="s">
        <v>77</v>
      </c>
      <c r="B8">
        <v>2390029411.7647057</v>
      </c>
    </row>
    <row r="9" spans="1:2" x14ac:dyDescent="0.3">
      <c r="A9" t="s">
        <v>78</v>
      </c>
      <c r="B9">
        <v>-0.62258959928924718</v>
      </c>
    </row>
    <row r="10" spans="1:2" x14ac:dyDescent="0.3">
      <c r="A10" t="s">
        <v>79</v>
      </c>
      <c r="B10">
        <v>0.62367484976469534</v>
      </c>
    </row>
    <row r="11" spans="1:2" x14ac:dyDescent="0.3">
      <c r="A11" t="s">
        <v>80</v>
      </c>
      <c r="B11">
        <v>161000</v>
      </c>
    </row>
    <row r="12" spans="1:2" x14ac:dyDescent="0.3">
      <c r="A12" t="s">
        <v>81</v>
      </c>
      <c r="B12">
        <v>91000</v>
      </c>
    </row>
    <row r="13" spans="1:2" x14ac:dyDescent="0.3">
      <c r="A13" t="s">
        <v>82</v>
      </c>
      <c r="B13">
        <v>252000</v>
      </c>
    </row>
    <row r="14" spans="1:2" x14ac:dyDescent="0.3">
      <c r="A14" t="s">
        <v>83</v>
      </c>
      <c r="B14">
        <v>2817000</v>
      </c>
    </row>
    <row r="15" spans="1:2" ht="15" thickBot="1" x14ac:dyDescent="0.35">
      <c r="A15" s="22" t="s">
        <v>84</v>
      </c>
      <c r="B15" s="22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7F2E-DAAF-4396-A3E9-46DD23E7FB25}">
  <dimension ref="A1:B8"/>
  <sheetViews>
    <sheetView workbookViewId="0">
      <selection activeCell="C4" sqref="C4"/>
    </sheetView>
  </sheetViews>
  <sheetFormatPr baseColWidth="10" defaultRowHeight="14.4" x14ac:dyDescent="0.3"/>
  <cols>
    <col min="1" max="1" width="31.77734375" bestFit="1" customWidth="1"/>
    <col min="2" max="2" width="12.77734375" bestFit="1" customWidth="1"/>
  </cols>
  <sheetData>
    <row r="1" spans="1:2" x14ac:dyDescent="0.3">
      <c r="A1" s="33" t="s">
        <v>85</v>
      </c>
      <c r="B1" s="33" t="s">
        <v>86</v>
      </c>
    </row>
    <row r="2" spans="1:2" x14ac:dyDescent="0.3">
      <c r="A2" t="s">
        <v>87</v>
      </c>
      <c r="B2" s="24">
        <v>50000</v>
      </c>
    </row>
    <row r="3" spans="1:2" x14ac:dyDescent="0.3">
      <c r="A3" t="s">
        <v>88</v>
      </c>
      <c r="B3" s="24">
        <v>32000</v>
      </c>
    </row>
    <row r="4" spans="1:2" x14ac:dyDescent="0.3">
      <c r="A4" t="s">
        <v>104</v>
      </c>
      <c r="B4" s="25">
        <v>20</v>
      </c>
    </row>
    <row r="5" spans="1:2" x14ac:dyDescent="0.3">
      <c r="A5" t="s">
        <v>89</v>
      </c>
      <c r="B5" s="24">
        <f>(B2-B3)*B4</f>
        <v>360000</v>
      </c>
    </row>
    <row r="6" spans="1:2" x14ac:dyDescent="0.3">
      <c r="A6" t="s">
        <v>105</v>
      </c>
      <c r="B6" s="32">
        <v>27.78</v>
      </c>
    </row>
    <row r="7" spans="1:2" x14ac:dyDescent="0.3">
      <c r="A7" t="s">
        <v>106</v>
      </c>
      <c r="B7" s="24">
        <v>500000</v>
      </c>
    </row>
    <row r="8" spans="1:2" x14ac:dyDescent="0.3">
      <c r="A8" t="s">
        <v>107</v>
      </c>
      <c r="B8" s="25">
        <v>28</v>
      </c>
    </row>
  </sheetData>
  <scenarios current="1" show="1" sqref="B5">
    <scenario name="Pesimista" locked="1" count="2" user="Mica Marchán" comment="Creado por Mica Marchán el 9/8/2026">
      <inputCells r="B2" val="47000" numFmtId="166"/>
      <inputCells r="B3" val="34000" numFmtId="166"/>
    </scenario>
    <scenario name="Base" locked="1" count="2" user="Mica Marchán" comment="Creado por Mica Marchán el 9/8/2026">
      <inputCells r="B2" val="50000" numFmtId="166"/>
      <inputCells r="B3" val="32000" numFmtId="166"/>
    </scenario>
    <scenario name="Optimista" locked="1" count="2" user="Mica Marchán" comment="Creado por Mica Marchán el 9/8/2026">
      <inputCells r="B2" val="54000" numFmtId="166"/>
      <inputCells r="B3" val="30000" numFmtId="166"/>
    </scenario>
  </scenario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0101-164D-40B8-9D90-7D3AA63B41D9}">
  <sheetPr>
    <outlinePr summaryBelow="0"/>
  </sheetPr>
  <dimension ref="B1:G12"/>
  <sheetViews>
    <sheetView showGridLines="0" workbookViewId="0">
      <selection activeCell="E24" sqref="E24"/>
    </sheetView>
  </sheetViews>
  <sheetFormatPr baseColWidth="10" defaultRowHeight="14.4" outlineLevelRow="1" outlineLevelCol="1" x14ac:dyDescent="0.3"/>
  <cols>
    <col min="3" max="3" width="5.109375" bestFit="1" customWidth="1"/>
    <col min="4" max="7" width="13.88671875" bestFit="1" customWidth="1" outlineLevel="1"/>
  </cols>
  <sheetData>
    <row r="1" spans="2:7" ht="15" thickBot="1" x14ac:dyDescent="0.35"/>
    <row r="2" spans="2:7" ht="15.6" x14ac:dyDescent="0.3">
      <c r="B2" s="27" t="s">
        <v>97</v>
      </c>
      <c r="C2" s="27"/>
      <c r="D2" s="30"/>
      <c r="E2" s="30"/>
      <c r="F2" s="30"/>
      <c r="G2" s="30"/>
    </row>
    <row r="3" spans="2:7" ht="15.6" collapsed="1" x14ac:dyDescent="0.3">
      <c r="B3" s="26"/>
      <c r="C3" s="26"/>
      <c r="D3" s="31" t="s">
        <v>99</v>
      </c>
      <c r="E3" s="31" t="s">
        <v>93</v>
      </c>
      <c r="F3" s="31" t="s">
        <v>95</v>
      </c>
      <c r="G3" s="31" t="s">
        <v>96</v>
      </c>
    </row>
    <row r="4" spans="2:7" ht="21.6" hidden="1" outlineLevel="1" x14ac:dyDescent="0.3">
      <c r="B4" s="36"/>
      <c r="C4" s="36"/>
      <c r="E4" s="38" t="s">
        <v>94</v>
      </c>
      <c r="F4" s="38" t="s">
        <v>94</v>
      </c>
      <c r="G4" s="38" t="s">
        <v>94</v>
      </c>
    </row>
    <row r="5" spans="2:7" x14ac:dyDescent="0.3">
      <c r="B5" s="28" t="s">
        <v>98</v>
      </c>
      <c r="C5" s="28"/>
      <c r="D5" s="35"/>
      <c r="E5" s="35"/>
      <c r="F5" s="35"/>
      <c r="G5" s="35"/>
    </row>
    <row r="6" spans="2:7" outlineLevel="1" x14ac:dyDescent="0.3">
      <c r="B6" s="36"/>
      <c r="C6" s="36" t="s">
        <v>90</v>
      </c>
      <c r="D6" s="24">
        <v>50000</v>
      </c>
      <c r="E6" s="37">
        <v>47000</v>
      </c>
      <c r="F6" s="37">
        <v>50000</v>
      </c>
      <c r="G6" s="37">
        <v>54000</v>
      </c>
    </row>
    <row r="7" spans="2:7" outlineLevel="1" x14ac:dyDescent="0.3">
      <c r="B7" s="36"/>
      <c r="C7" s="36" t="s">
        <v>91</v>
      </c>
      <c r="D7" s="24">
        <v>32000</v>
      </c>
      <c r="E7" s="37">
        <v>34000</v>
      </c>
      <c r="F7" s="37">
        <v>32000</v>
      </c>
      <c r="G7" s="37">
        <v>30000</v>
      </c>
    </row>
    <row r="8" spans="2:7" x14ac:dyDescent="0.3">
      <c r="B8" s="28" t="s">
        <v>100</v>
      </c>
      <c r="C8" s="28"/>
      <c r="D8" s="35"/>
      <c r="E8" s="35"/>
      <c r="F8" s="35"/>
      <c r="G8" s="35"/>
    </row>
    <row r="9" spans="2:7" ht="15" outlineLevel="1" thickBot="1" x14ac:dyDescent="0.35">
      <c r="B9" s="29"/>
      <c r="C9" s="29" t="s">
        <v>92</v>
      </c>
      <c r="D9" s="34">
        <v>360000</v>
      </c>
      <c r="E9" s="34">
        <v>260000</v>
      </c>
      <c r="F9" s="34">
        <v>360000</v>
      </c>
      <c r="G9" s="34">
        <v>480000</v>
      </c>
    </row>
    <row r="10" spans="2:7" x14ac:dyDescent="0.3">
      <c r="B10" t="s">
        <v>101</v>
      </c>
    </row>
    <row r="11" spans="2:7" x14ac:dyDescent="0.3">
      <c r="B11" t="s">
        <v>102</v>
      </c>
    </row>
    <row r="12" spans="2:7" x14ac:dyDescent="0.3">
      <c r="B1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1102-F12A-41E3-A142-6C5D7E00947D}">
  <dimension ref="B1:B2"/>
  <sheetViews>
    <sheetView workbookViewId="0">
      <selection activeCell="B16" sqref="B16"/>
    </sheetView>
  </sheetViews>
  <sheetFormatPr baseColWidth="10" defaultRowHeight="14.4" x14ac:dyDescent="0.3"/>
  <cols>
    <col min="1" max="1" width="2.6640625" customWidth="1"/>
    <col min="2" max="2" width="92.5546875" customWidth="1"/>
  </cols>
  <sheetData>
    <row r="1" spans="2:2" ht="15" thickBot="1" x14ac:dyDescent="0.35"/>
    <row r="2" spans="2:2" ht="173.4" thickBot="1" x14ac:dyDescent="0.35">
      <c r="B2" s="39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504B-489C-4189-92B9-6366FBA83D47}">
  <sheetPr codeName="Hoja4"/>
  <dimension ref="A1:B20"/>
  <sheetViews>
    <sheetView workbookViewId="0">
      <selection activeCell="B19" sqref="B19"/>
    </sheetView>
  </sheetViews>
  <sheetFormatPr baseColWidth="10" defaultRowHeight="14.4" x14ac:dyDescent="0.3"/>
  <cols>
    <col min="1" max="1" width="29.109375" bestFit="1" customWidth="1"/>
    <col min="2" max="2" width="17.33203125" customWidth="1"/>
  </cols>
  <sheetData>
    <row r="1" spans="1:2" x14ac:dyDescent="0.3">
      <c r="A1" t="s">
        <v>27</v>
      </c>
    </row>
    <row r="3" spans="1:2" x14ac:dyDescent="0.3">
      <c r="A3" t="s">
        <v>28</v>
      </c>
      <c r="B3" s="13">
        <v>1500000</v>
      </c>
    </row>
    <row r="4" spans="1:2" x14ac:dyDescent="0.3">
      <c r="A4" t="s">
        <v>29</v>
      </c>
      <c r="B4" s="12">
        <v>0.36</v>
      </c>
    </row>
    <row r="5" spans="1:2" x14ac:dyDescent="0.3">
      <c r="A5" t="s">
        <v>24</v>
      </c>
      <c r="B5">
        <v>36</v>
      </c>
    </row>
    <row r="6" spans="1:2" x14ac:dyDescent="0.3">
      <c r="A6" t="s">
        <v>26</v>
      </c>
      <c r="B6" s="13">
        <f>PMT(B4/12,B5,-B3)</f>
        <v>68705.691276235593</v>
      </c>
    </row>
    <row r="8" spans="1:2" x14ac:dyDescent="0.3">
      <c r="A8" t="s">
        <v>30</v>
      </c>
      <c r="B8" s="12">
        <v>0.18</v>
      </c>
    </row>
    <row r="10" spans="1:2" x14ac:dyDescent="0.3">
      <c r="A10" t="s">
        <v>31</v>
      </c>
      <c r="B10" t="s">
        <v>32</v>
      </c>
    </row>
    <row r="11" spans="1:2" x14ac:dyDescent="0.3">
      <c r="A11">
        <v>0</v>
      </c>
      <c r="B11" s="13">
        <v>-1500000</v>
      </c>
    </row>
    <row r="12" spans="1:2" x14ac:dyDescent="0.3">
      <c r="A12">
        <v>1</v>
      </c>
      <c r="B12" s="13">
        <v>420000</v>
      </c>
    </row>
    <row r="13" spans="1:2" x14ac:dyDescent="0.3">
      <c r="A13">
        <v>2</v>
      </c>
      <c r="B13" s="13">
        <v>480000</v>
      </c>
    </row>
    <row r="14" spans="1:2" x14ac:dyDescent="0.3">
      <c r="A14">
        <v>3</v>
      </c>
      <c r="B14" s="13">
        <v>540000</v>
      </c>
    </row>
    <row r="15" spans="1:2" x14ac:dyDescent="0.3">
      <c r="A15">
        <v>4</v>
      </c>
      <c r="B15" s="13">
        <v>610000</v>
      </c>
    </row>
    <row r="16" spans="1:2" x14ac:dyDescent="0.3">
      <c r="A16">
        <v>5</v>
      </c>
      <c r="B16" s="13">
        <v>700000</v>
      </c>
    </row>
    <row r="18" spans="1:2" x14ac:dyDescent="0.3">
      <c r="A18" t="s">
        <v>33</v>
      </c>
      <c r="B18" s="13">
        <f>NPV(B8,B12:B16)+B11</f>
        <v>149929.06612620247</v>
      </c>
    </row>
    <row r="19" spans="1:2" x14ac:dyDescent="0.3">
      <c r="A19" t="s">
        <v>34</v>
      </c>
      <c r="B19" s="12">
        <f>IRR(B11:B16)</f>
        <v>0.21956995715114891</v>
      </c>
    </row>
    <row r="20" spans="1:2" ht="57.6" x14ac:dyDescent="0.3">
      <c r="A20" t="s">
        <v>35</v>
      </c>
      <c r="B20" s="14" t="str">
        <f>IF(AND(B18&gt;0,B19&gt;B8),"ACEPTAR: el proyecto genera valor y supera el costo de capital","RECHAZAR: el proyecto no cumple los criterios de rentabilidad")</f>
        <v>ACEPTAR: el proyecto genera valor y supera el costo de capital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03FB-1E32-4B27-833F-57295B773F38}">
  <sheetPr codeName="Hoja6">
    <pageSetUpPr fitToPage="1"/>
  </sheetPr>
  <dimension ref="A1:K26"/>
  <sheetViews>
    <sheetView workbookViewId="0">
      <selection activeCell="A25" sqref="A25"/>
    </sheetView>
  </sheetViews>
  <sheetFormatPr baseColWidth="10" defaultRowHeight="14.4" x14ac:dyDescent="0.3"/>
  <cols>
    <col min="1" max="1" width="16.5546875" style="18" bestFit="1" customWidth="1"/>
    <col min="2" max="2" width="21.44140625" style="18" bestFit="1" customWidth="1"/>
    <col min="3" max="3" width="9.88671875" style="18" bestFit="1" customWidth="1"/>
    <col min="4" max="4" width="10.33203125" style="18" bestFit="1" customWidth="1"/>
    <col min="5" max="5" width="11.88671875" style="18" bestFit="1" customWidth="1"/>
    <col min="6" max="8" width="11.5546875" style="18"/>
  </cols>
  <sheetData>
    <row r="1" spans="1:11" ht="30" customHeight="1" x14ac:dyDescent="0.3">
      <c r="A1" s="54" t="s">
        <v>69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12" spans="1:11" x14ac:dyDescent="0.3">
      <c r="A12" s="16" t="s">
        <v>70</v>
      </c>
      <c r="B12" s="16" t="s">
        <v>68</v>
      </c>
      <c r="C12" s="17"/>
      <c r="D12" s="17"/>
      <c r="E12" s="17"/>
    </row>
    <row r="13" spans="1:11" x14ac:dyDescent="0.3">
      <c r="A13" s="16" t="s">
        <v>66</v>
      </c>
      <c r="B13" s="17" t="s">
        <v>46</v>
      </c>
      <c r="C13" s="17" t="s">
        <v>43</v>
      </c>
      <c r="D13" s="17" t="s">
        <v>50</v>
      </c>
      <c r="E13" s="17" t="s">
        <v>67</v>
      </c>
    </row>
    <row r="14" spans="1:11" x14ac:dyDescent="0.3">
      <c r="A14" s="19" t="s">
        <v>48</v>
      </c>
      <c r="B14" s="21">
        <v>185000</v>
      </c>
      <c r="C14" s="21">
        <v>132000</v>
      </c>
      <c r="D14" s="21">
        <v>94000</v>
      </c>
      <c r="E14" s="21">
        <v>411000</v>
      </c>
    </row>
    <row r="15" spans="1:11" x14ac:dyDescent="0.3">
      <c r="A15" s="19" t="s">
        <v>42</v>
      </c>
      <c r="B15" s="21">
        <v>47000</v>
      </c>
      <c r="C15" s="21">
        <v>167000</v>
      </c>
      <c r="D15" s="21">
        <v>139000</v>
      </c>
      <c r="E15" s="21">
        <v>353000</v>
      </c>
    </row>
    <row r="16" spans="1:11" x14ac:dyDescent="0.3">
      <c r="A16" s="19" t="s">
        <v>45</v>
      </c>
      <c r="B16" s="21">
        <v>37000</v>
      </c>
      <c r="C16" s="21">
        <v>155000</v>
      </c>
      <c r="D16" s="21">
        <v>173000</v>
      </c>
      <c r="E16" s="21">
        <v>365000</v>
      </c>
    </row>
    <row r="17" spans="1:5" x14ac:dyDescent="0.3">
      <c r="A17" s="19" t="s">
        <v>67</v>
      </c>
      <c r="B17" s="21">
        <v>269000</v>
      </c>
      <c r="C17" s="21">
        <v>454000</v>
      </c>
      <c r="D17" s="21">
        <v>406000</v>
      </c>
      <c r="E17" s="21">
        <v>1129000</v>
      </c>
    </row>
    <row r="22" spans="1:5" x14ac:dyDescent="0.3">
      <c r="D22" s="20"/>
    </row>
    <row r="26" spans="1:5" x14ac:dyDescent="0.3">
      <c r="C26" s="20"/>
    </row>
  </sheetData>
  <mergeCells count="1">
    <mergeCell ref="A1:K1"/>
  </mergeCells>
  <printOptions horizontalCentered="1" verticalCentered="1"/>
  <pageMargins left="0.27559055118110232" right="0.27559055118110232" top="0.27559055118110232" bottom="0.27559055118110232" header="0.3" footer="0.3"/>
  <pageSetup paperSize="9" orientation="landscape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5" name="Button 1">
              <controlPr defaultSize="0" print="0" autoFill="0" autoPict="0" macro="[0]!Actualizar_Datos">
                <anchor moveWithCells="1" sizeWithCells="1">
                  <from>
                    <xdr:col>0</xdr:col>
                    <xdr:colOff>228600</xdr:colOff>
                    <xdr:row>2</xdr:row>
                    <xdr:rowOff>76200</xdr:rowOff>
                  </from>
                  <to>
                    <xdr:col>1</xdr:col>
                    <xdr:colOff>1310640</xdr:colOff>
                    <xdr:row>9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6" name="Button 2">
              <controlPr defaultSize="0" print="0" autoFill="0" autoPict="0" macro="[0]!Aplicar_Formato">
                <anchor moveWithCells="1" sizeWithCells="1">
                  <from>
                    <xdr:col>2</xdr:col>
                    <xdr:colOff>76200</xdr:colOff>
                    <xdr:row>2</xdr:row>
                    <xdr:rowOff>60960</xdr:rowOff>
                  </from>
                  <to>
                    <xdr:col>5</xdr:col>
                    <xdr:colOff>38100</xdr:colOff>
                    <xdr:row>9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7" name="Button 3">
              <controlPr defaultSize="0" print="0" autoFill="0" autoPict="0" macro="[0]!Exportar_Reporte_PDF">
                <anchor moveWithCells="1" sizeWithCells="1">
                  <from>
                    <xdr:col>5</xdr:col>
                    <xdr:colOff>297180</xdr:colOff>
                    <xdr:row>2</xdr:row>
                    <xdr:rowOff>91440</xdr:rowOff>
                  </from>
                  <to>
                    <xdr:col>8</xdr:col>
                    <xdr:colOff>121920</xdr:colOff>
                    <xdr:row>9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8" name="Button 4">
              <controlPr defaultSize="0" print="0" autoFill="0" autoPict="0" macro="[0]!Limpiar_Filtros">
                <anchor moveWithCells="1" sizeWithCells="1">
                  <from>
                    <xdr:col>8</xdr:col>
                    <xdr:colOff>449580</xdr:colOff>
                    <xdr:row>2</xdr:row>
                    <xdr:rowOff>114300</xdr:rowOff>
                  </from>
                  <to>
                    <xdr:col>11</xdr:col>
                    <xdr:colOff>152400</xdr:colOff>
                    <xdr:row>9</xdr:row>
                    <xdr:rowOff>83820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8322-1210-4504-A16C-9DEF987401CB}">
  <sheetPr codeName="Hoja1"/>
  <dimension ref="A1:D12"/>
  <sheetViews>
    <sheetView workbookViewId="0">
      <selection activeCell="B7" sqref="B7"/>
    </sheetView>
  </sheetViews>
  <sheetFormatPr baseColWidth="10" defaultRowHeight="14.4" x14ac:dyDescent="0.3"/>
  <cols>
    <col min="1" max="1" width="14.21875" bestFit="1" customWidth="1"/>
    <col min="2" max="2" width="18.6640625" bestFit="1" customWidth="1"/>
    <col min="3" max="3" width="20.109375" bestFit="1" customWidth="1"/>
  </cols>
  <sheetData>
    <row r="1" spans="1:4" ht="21" x14ac:dyDescent="0.4">
      <c r="A1" s="55" t="s">
        <v>20</v>
      </c>
      <c r="B1" s="55"/>
      <c r="C1" s="55"/>
      <c r="D1" s="55"/>
    </row>
    <row r="3" spans="1:4" x14ac:dyDescent="0.3">
      <c r="A3" t="s">
        <v>21</v>
      </c>
      <c r="B3" s="3">
        <v>1</v>
      </c>
    </row>
    <row r="4" spans="1:4" x14ac:dyDescent="0.3">
      <c r="A4" t="s">
        <v>1</v>
      </c>
      <c r="B4" s="8" t="str">
        <f>_xlfn.XLOOKUP(B3,tblclientes[ID_Cliente],tblclientes[Nombre],"Cliente no encontrado")</f>
        <v>Ana Gómez</v>
      </c>
    </row>
    <row r="5" spans="1:4" x14ac:dyDescent="0.3">
      <c r="A5" t="s">
        <v>2</v>
      </c>
      <c r="B5" s="8" t="str">
        <f>_xlfn.XLOOKUP(B3,tblclientes[ID_Cliente],tblclientes[Empresa],"Empresa no encontrada")</f>
        <v>Logística Sur</v>
      </c>
    </row>
    <row r="7" spans="1:4" x14ac:dyDescent="0.3">
      <c r="A7" t="s">
        <v>22</v>
      </c>
      <c r="B7" s="4">
        <v>5000000</v>
      </c>
    </row>
    <row r="8" spans="1:4" x14ac:dyDescent="0.3">
      <c r="A8" t="s">
        <v>23</v>
      </c>
      <c r="B8" s="5">
        <v>0.36</v>
      </c>
    </row>
    <row r="9" spans="1:4" x14ac:dyDescent="0.3">
      <c r="A9" t="s">
        <v>24</v>
      </c>
      <c r="B9" s="6">
        <v>24</v>
      </c>
    </row>
    <row r="11" spans="1:4" x14ac:dyDescent="0.3">
      <c r="A11" t="s">
        <v>26</v>
      </c>
      <c r="B11" s="7">
        <f>-PMT(B8/12,B9,B7)</f>
        <v>295237.07974484935</v>
      </c>
    </row>
    <row r="12" spans="1:4" x14ac:dyDescent="0.3">
      <c r="A12" t="s">
        <v>25</v>
      </c>
      <c r="B12" s="7">
        <f>FV(B8/12,B9,0,-B7)</f>
        <v>10163970.532302009</v>
      </c>
    </row>
  </sheetData>
  <sheetProtection sheet="1" objects="1" scenarios="1" selectLockedCells="1"/>
  <mergeCells count="1">
    <mergeCell ref="A1:D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ArchivarSimulacion">
                <anchor moveWithCells="1" sizeWithCells="1">
                  <from>
                    <xdr:col>3</xdr:col>
                    <xdr:colOff>53340</xdr:colOff>
                    <xdr:row>2</xdr:row>
                    <xdr:rowOff>83820</xdr:rowOff>
                  </from>
                  <to>
                    <xdr:col>5</xdr:col>
                    <xdr:colOff>441960</xdr:colOff>
                    <xdr:row>11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34E02-94AE-4EA7-8F62-AB2B329610EF}">
  <sheetPr codeName="Hoja2"/>
  <dimension ref="A1:C6"/>
  <sheetViews>
    <sheetView workbookViewId="0">
      <selection activeCell="C22" sqref="C22"/>
    </sheetView>
  </sheetViews>
  <sheetFormatPr baseColWidth="10" defaultRowHeight="14.4" x14ac:dyDescent="0.3"/>
  <cols>
    <col min="1" max="1" width="11.5546875" style="1"/>
    <col min="2" max="2" width="14.109375" bestFit="1" customWidth="1"/>
    <col min="3" max="3" width="15.33203125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1">
        <v>1</v>
      </c>
      <c r="B2" t="s">
        <v>3</v>
      </c>
      <c r="C2" t="s">
        <v>4</v>
      </c>
    </row>
    <row r="3" spans="1:3" x14ac:dyDescent="0.3">
      <c r="A3" s="1">
        <v>2</v>
      </c>
      <c r="B3" t="s">
        <v>5</v>
      </c>
      <c r="C3" t="s">
        <v>6</v>
      </c>
    </row>
    <row r="4" spans="1:3" x14ac:dyDescent="0.3">
      <c r="A4" s="1">
        <v>3</v>
      </c>
      <c r="B4" t="s">
        <v>7</v>
      </c>
      <c r="C4" t="s">
        <v>8</v>
      </c>
    </row>
    <row r="5" spans="1:3" x14ac:dyDescent="0.3">
      <c r="A5" s="1">
        <v>4</v>
      </c>
      <c r="B5" t="s">
        <v>9</v>
      </c>
      <c r="C5" t="s">
        <v>10</v>
      </c>
    </row>
    <row r="6" spans="1:3" x14ac:dyDescent="0.3">
      <c r="A6" s="1">
        <v>5</v>
      </c>
      <c r="B6" t="s">
        <v>11</v>
      </c>
      <c r="C6" t="s">
        <v>12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ED96-1904-4C7F-B850-7956B61B826D}">
  <sheetPr codeName="Hoja3"/>
  <dimension ref="A1:H6"/>
  <sheetViews>
    <sheetView workbookViewId="0">
      <selection activeCell="D13" sqref="D13"/>
    </sheetView>
  </sheetViews>
  <sheetFormatPr baseColWidth="10" defaultRowHeight="14.4" x14ac:dyDescent="0.3"/>
  <cols>
    <col min="1" max="1" width="14.88671875" style="9" customWidth="1"/>
    <col min="2" max="2" width="11.5546875" style="10"/>
    <col min="3" max="3" width="11.5546875" style="9"/>
    <col min="4" max="4" width="14.33203125" style="2" bestFit="1" customWidth="1"/>
    <col min="5" max="5" width="12.109375" style="11" customWidth="1"/>
    <col min="6" max="6" width="13.44140625" style="9" customWidth="1"/>
    <col min="7" max="7" width="15.44140625" style="2" customWidth="1"/>
    <col min="8" max="8" width="15.33203125" style="2" bestFit="1" customWidth="1"/>
  </cols>
  <sheetData>
    <row r="1" spans="1:8" x14ac:dyDescent="0.3">
      <c r="A1" s="9" t="s">
        <v>13</v>
      </c>
      <c r="B1" s="10" t="s">
        <v>14</v>
      </c>
      <c r="C1" s="9" t="s">
        <v>0</v>
      </c>
      <c r="D1" s="2" t="s">
        <v>15</v>
      </c>
      <c r="E1" s="11" t="s">
        <v>16</v>
      </c>
      <c r="F1" s="9" t="s">
        <v>17</v>
      </c>
      <c r="G1" s="2" t="s">
        <v>18</v>
      </c>
      <c r="H1" s="2" t="s">
        <v>19</v>
      </c>
    </row>
    <row r="2" spans="1:8" x14ac:dyDescent="0.3">
      <c r="A2" s="9">
        <v>1</v>
      </c>
      <c r="B2" s="10">
        <v>46239</v>
      </c>
      <c r="C2" s="9">
        <v>1</v>
      </c>
      <c r="D2" s="2">
        <v>1000000</v>
      </c>
      <c r="E2" s="11">
        <v>0.36</v>
      </c>
      <c r="F2" s="9">
        <v>24</v>
      </c>
      <c r="G2" s="2">
        <v>59047.4</v>
      </c>
      <c r="H2" s="2">
        <v>1489035.72</v>
      </c>
    </row>
    <row r="3" spans="1:8" x14ac:dyDescent="0.3">
      <c r="A3" s="9">
        <v>2</v>
      </c>
      <c r="B3" s="10">
        <v>46239</v>
      </c>
      <c r="C3" s="9">
        <v>1</v>
      </c>
      <c r="D3" s="2">
        <v>1000000</v>
      </c>
      <c r="E3" s="11">
        <v>0.36</v>
      </c>
      <c r="F3" s="9">
        <v>24</v>
      </c>
      <c r="G3" s="2">
        <v>59047.4159</v>
      </c>
      <c r="H3" s="2">
        <v>2032794.1065</v>
      </c>
    </row>
    <row r="4" spans="1:8" x14ac:dyDescent="0.3">
      <c r="A4" s="9">
        <v>3</v>
      </c>
      <c r="B4" s="10">
        <v>46239</v>
      </c>
      <c r="C4" s="9">
        <v>1</v>
      </c>
      <c r="D4" s="2">
        <v>1000000</v>
      </c>
      <c r="E4" s="11">
        <v>0.36</v>
      </c>
      <c r="F4" s="9">
        <v>24</v>
      </c>
      <c r="G4" s="2">
        <v>59047.4159</v>
      </c>
      <c r="H4" s="2">
        <v>2032794.1065</v>
      </c>
    </row>
    <row r="5" spans="1:8" x14ac:dyDescent="0.3">
      <c r="A5" s="9">
        <v>4</v>
      </c>
      <c r="B5" s="10">
        <v>46239</v>
      </c>
      <c r="C5" s="9">
        <v>1</v>
      </c>
      <c r="D5" s="2">
        <v>5000000</v>
      </c>
      <c r="E5" s="11">
        <v>0.36</v>
      </c>
      <c r="F5" s="9">
        <v>24</v>
      </c>
      <c r="G5" s="2">
        <v>295237.0797</v>
      </c>
      <c r="H5" s="2">
        <v>10163970.532299999</v>
      </c>
    </row>
    <row r="6" spans="1:8" x14ac:dyDescent="0.3">
      <c r="A6" s="9">
        <v>5</v>
      </c>
      <c r="B6" s="10">
        <v>46239</v>
      </c>
      <c r="C6" s="9">
        <v>1</v>
      </c>
      <c r="D6" s="2">
        <v>5000000</v>
      </c>
      <c r="E6" s="11">
        <v>0.36</v>
      </c>
      <c r="F6" s="9">
        <v>24</v>
      </c>
      <c r="G6" s="2">
        <v>295237.0797</v>
      </c>
      <c r="H6" s="2">
        <v>10163970.532299999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45A9A87-A105-4FA9-A46F-06580707EBCA}">
  <ds:schemaRefs/>
</ds:datastoreItem>
</file>

<file path=customXml/itemProps2.xml><?xml version="1.0" encoding="utf-8"?>
<ds:datastoreItem xmlns:ds="http://schemas.openxmlformats.org/officeDocument/2006/customXml" ds:itemID="{FCAC88D0-DD93-45B1-832A-AE5EC351B213}">
  <ds:schemaRefs/>
</ds:datastoreItem>
</file>

<file path=customXml/itemProps3.xml><?xml version="1.0" encoding="utf-8"?>
<ds:datastoreItem xmlns:ds="http://schemas.openxmlformats.org/officeDocument/2006/customXml" ds:itemID="{3BE36FF6-96D3-4BC1-9B16-AAE5358C3EC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6E929B7-829B-420E-96D4-6EA8C42D01BC}">
  <ds:schemaRefs/>
</ds:datastoreItem>
</file>

<file path=customXml/itemProps5.xml><?xml version="1.0" encoding="utf-8"?>
<ds:datastoreItem xmlns:ds="http://schemas.openxmlformats.org/officeDocument/2006/customXml" ds:itemID="{F43CF1ED-1BF4-4569-A389-C785F73D98F9}">
  <ds:schemaRefs/>
</ds:datastoreItem>
</file>

<file path=customXml/itemProps6.xml><?xml version="1.0" encoding="utf-8"?>
<ds:datastoreItem xmlns:ds="http://schemas.openxmlformats.org/officeDocument/2006/customXml" ds:itemID="{782D5F53-CB9C-484C-A838-786BEF0FA850}">
  <ds:schemaRefs/>
</ds:datastoreItem>
</file>

<file path=customXml/itemProps7.xml><?xml version="1.0" encoding="utf-8"?>
<ds:datastoreItem xmlns:ds="http://schemas.openxmlformats.org/officeDocument/2006/customXml" ds:itemID="{21DEB38D-7708-4AA5-A75D-23D33FBFC356}">
  <ds:schemaRefs/>
</ds:datastoreItem>
</file>

<file path=customXml/itemProps8.xml><?xml version="1.0" encoding="utf-8"?>
<ds:datastoreItem xmlns:ds="http://schemas.openxmlformats.org/officeDocument/2006/customXml" ds:itemID="{724BF895-5AB1-4F56-915D-4E1961C5D0EE}">
  <ds:schemaRefs/>
</ds:datastoreItem>
</file>

<file path=customXml/itemProps9.xml><?xml version="1.0" encoding="utf-8"?>
<ds:datastoreItem xmlns:ds="http://schemas.openxmlformats.org/officeDocument/2006/customXml" ds:itemID="{FB8DC789-E8C0-4287-B805-B2528E529FB8}">
  <ds:schemaRefs/>
</ds:datastoreItem>
</file>

<file path=customXml/itemProps10.xml><?xml version="1.0" encoding="utf-8"?>
<ds:datastoreItem xmlns:ds="http://schemas.openxmlformats.org/officeDocument/2006/customXml" ds:itemID="{656BBD08-B569-4B98-AF50-43F463898215}">
  <ds:schemaRefs/>
</ds:datastoreItem>
</file>

<file path=customXml/itemProps11.xml><?xml version="1.0" encoding="utf-8"?>
<ds:datastoreItem xmlns:ds="http://schemas.openxmlformats.org/officeDocument/2006/customXml" ds:itemID="{9D2B75CE-7D80-4E71-B759-E7B75807DE42}">
  <ds:schemaRefs/>
</ds:datastoreItem>
</file>

<file path=customXml/itemProps12.xml><?xml version="1.0" encoding="utf-8"?>
<ds:datastoreItem xmlns:ds="http://schemas.openxmlformats.org/officeDocument/2006/customXml" ds:itemID="{F727E183-E62B-4E34-A6E5-5A71A297F601}">
  <ds:schemaRefs/>
</ds:datastoreItem>
</file>

<file path=customXml/itemProps13.xml><?xml version="1.0" encoding="utf-8"?>
<ds:datastoreItem xmlns:ds="http://schemas.openxmlformats.org/officeDocument/2006/customXml" ds:itemID="{FABF23F9-7832-43FB-9380-83CDECA68189}">
  <ds:schemaRefs/>
</ds:datastoreItem>
</file>

<file path=customXml/itemProps14.xml><?xml version="1.0" encoding="utf-8"?>
<ds:datastoreItem xmlns:ds="http://schemas.openxmlformats.org/officeDocument/2006/customXml" ds:itemID="{BD39ED4F-645D-427D-BE03-82C9EEF2EEE2}">
  <ds:schemaRefs/>
</ds:datastoreItem>
</file>

<file path=customXml/itemProps15.xml><?xml version="1.0" encoding="utf-8"?>
<ds:datastoreItem xmlns:ds="http://schemas.openxmlformats.org/officeDocument/2006/customXml" ds:itemID="{623F7B93-9642-433F-806D-8E4DED52435E}">
  <ds:schemaRefs/>
</ds:datastoreItem>
</file>

<file path=customXml/itemProps16.xml><?xml version="1.0" encoding="utf-8"?>
<ds:datastoreItem xmlns:ds="http://schemas.openxmlformats.org/officeDocument/2006/customXml" ds:itemID="{F7C138E1-1E9F-4FF2-9524-99127F7A6A41}">
  <ds:schemaRefs/>
</ds:datastoreItem>
</file>

<file path=customXml/itemProps17.xml><?xml version="1.0" encoding="utf-8"?>
<ds:datastoreItem xmlns:ds="http://schemas.openxmlformats.org/officeDocument/2006/customXml" ds:itemID="{FB534211-9608-4C5C-867D-BAF4E420A044}">
  <ds:schemaRefs/>
</ds:datastoreItem>
</file>

<file path=customXml/itemProps18.xml><?xml version="1.0" encoding="utf-8"?>
<ds:datastoreItem xmlns:ds="http://schemas.openxmlformats.org/officeDocument/2006/customXml" ds:itemID="{5EA3F920-A7CB-4719-A8F2-1471E7FD4EFB}">
  <ds:schemaRefs/>
</ds:datastoreItem>
</file>

<file path=customXml/itemProps19.xml><?xml version="1.0" encoding="utf-8"?>
<ds:datastoreItem xmlns:ds="http://schemas.openxmlformats.org/officeDocument/2006/customXml" ds:itemID="{CA36B8B9-04C6-495F-9D75-CB4E00FE1804}">
  <ds:schemaRefs/>
</ds:datastoreItem>
</file>

<file path=customXml/itemProps20.xml><?xml version="1.0" encoding="utf-8"?>
<ds:datastoreItem xmlns:ds="http://schemas.openxmlformats.org/officeDocument/2006/customXml" ds:itemID="{B20DB704-9641-4E62-94B1-54ECF2EA06B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Motor_Dashboard_Final</vt:lpstr>
      <vt:lpstr>Datos_Procesados</vt:lpstr>
      <vt:lpstr>Dashboard Final</vt:lpstr>
      <vt:lpstr>Estadistica_Descriptiva</vt:lpstr>
      <vt:lpstr>Simulacion</vt:lpstr>
      <vt:lpstr>Resumen del escenario</vt:lpstr>
      <vt:lpstr>Prompt_IA</vt:lpstr>
      <vt:lpstr>Evaluación_Financiera</vt:lpstr>
      <vt:lpstr>Reporte_Ejecutivo</vt:lpstr>
      <vt:lpstr>Dashboard</vt:lpstr>
      <vt:lpstr>Data_Clientes</vt:lpstr>
      <vt:lpstr>Historico_Simulaciones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Micaela Marchán</dc:creator>
  <cp:lastModifiedBy>Micaela Marchán</cp:lastModifiedBy>
  <cp:lastPrinted>2026-08-05T18:12:23Z</cp:lastPrinted>
  <dcterms:created xsi:type="dcterms:W3CDTF">2026-08-05T14:55:50Z</dcterms:created>
  <dcterms:modified xsi:type="dcterms:W3CDTF">2026-08-11T01:07:35Z</dcterms:modified>
</cp:coreProperties>
</file>